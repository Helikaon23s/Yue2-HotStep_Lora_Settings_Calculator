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rey3\Downloads\"/>
    </mc:Choice>
  </mc:AlternateContent>
  <xr:revisionPtr revIDLastSave="0" documentId="13_ncr:1_{68AC8F8B-1211-48CA-8ECA-19A5CA682BF1}" xr6:coauthVersionLast="47" xr6:coauthVersionMax="47" xr10:uidLastSave="{00000000-0000-0000-0000-000000000000}"/>
  <bookViews>
    <workbookView xWindow="11700" yWindow="135" windowWidth="29595" windowHeight="19470" tabRatio="500" xr2:uid="{00000000-000D-0000-FFFF-FFFF00000000}"/>
  </bookViews>
  <sheets>
    <sheet name="Calculator" sheetId="1" r:id="rId1"/>
    <sheet name="Calibration" sheetId="2" r:id="rId2"/>
    <sheet name="Guides" sheetId="3" r:id="rId3"/>
    <sheet name="Engine"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30" i="4" l="1"/>
  <c r="B29" i="4"/>
  <c r="B28" i="4"/>
  <c r="B27" i="4"/>
  <c r="B26" i="4"/>
  <c r="B21" i="4"/>
  <c r="C20" i="4"/>
  <c r="B20" i="4"/>
  <c r="B19" i="4"/>
  <c r="B43" i="1" s="1"/>
  <c r="C18" i="4"/>
  <c r="B18" i="4"/>
  <c r="B17" i="4"/>
  <c r="C16" i="4"/>
  <c r="B16" i="4"/>
  <c r="I41" i="1" s="1"/>
  <c r="E15" i="4"/>
  <c r="B15" i="4"/>
  <c r="B14" i="4"/>
  <c r="E13" i="4"/>
  <c r="E12" i="4"/>
  <c r="E11" i="4"/>
  <c r="E10" i="4"/>
  <c r="C10" i="4"/>
  <c r="B10" i="4"/>
  <c r="B47" i="1" s="1"/>
  <c r="F9" i="4"/>
  <c r="E9" i="4"/>
  <c r="C9" i="4"/>
  <c r="C11" i="4" s="1"/>
  <c r="C14" i="4" s="1"/>
  <c r="B9" i="4"/>
  <c r="I39" i="1" s="1"/>
  <c r="F8" i="4"/>
  <c r="E8" i="4"/>
  <c r="C8" i="4"/>
  <c r="B8" i="4"/>
  <c r="F7" i="4"/>
  <c r="E7" i="4"/>
  <c r="C7" i="4"/>
  <c r="B7" i="4"/>
  <c r="F6" i="4"/>
  <c r="E6" i="4"/>
  <c r="C6" i="4"/>
  <c r="C12" i="4" s="1"/>
  <c r="B6" i="4"/>
  <c r="B12" i="4" s="1"/>
  <c r="F5" i="4"/>
  <c r="E5" i="4"/>
  <c r="C5" i="4"/>
  <c r="C13" i="4" s="1"/>
  <c r="B5" i="4"/>
  <c r="B13" i="4" s="1"/>
  <c r="F4" i="4"/>
  <c r="E4" i="4"/>
  <c r="C4" i="4"/>
  <c r="B4" i="4"/>
  <c r="F3" i="4"/>
  <c r="F2" i="4"/>
  <c r="E2" i="4"/>
  <c r="D27" i="3"/>
  <c r="C27" i="3"/>
  <c r="D26" i="3"/>
  <c r="C26" i="3"/>
  <c r="D25" i="3"/>
  <c r="C25" i="3"/>
  <c r="D24" i="3"/>
  <c r="C24" i="3"/>
  <c r="D23" i="3"/>
  <c r="C23" i="3"/>
  <c r="D22" i="3"/>
  <c r="C22" i="3"/>
  <c r="D21" i="3"/>
  <c r="C21" i="3"/>
  <c r="D20" i="3"/>
  <c r="C20" i="3"/>
  <c r="D19" i="3"/>
  <c r="C19" i="3"/>
  <c r="D18" i="3"/>
  <c r="C18" i="3"/>
  <c r="C14" i="3"/>
  <c r="C13" i="3"/>
  <c r="C12" i="3"/>
  <c r="C11" i="3"/>
  <c r="C10" i="3"/>
  <c r="C9" i="3"/>
  <c r="C8" i="3"/>
  <c r="C7" i="3"/>
  <c r="C6" i="3"/>
  <c r="C5" i="3"/>
  <c r="B52" i="2"/>
  <c r="B51" i="1"/>
  <c r="B50" i="1"/>
  <c r="B49" i="1"/>
  <c r="B42" i="1"/>
  <c r="I35" i="1" s="1"/>
  <c r="B36" i="1"/>
  <c r="I29" i="1" s="1"/>
  <c r="B28" i="1"/>
  <c r="F22" i="1"/>
  <c r="F20" i="1"/>
  <c r="J17" i="1"/>
  <c r="H17" i="1"/>
  <c r="F17" i="1"/>
  <c r="J15" i="1"/>
  <c r="H15" i="1"/>
  <c r="F15" i="1"/>
  <c r="B65" i="2" l="1"/>
  <c r="B52" i="4"/>
  <c r="B34" i="1" s="1"/>
  <c r="H10" i="1" s="1"/>
  <c r="B31" i="4"/>
  <c r="B32" i="4"/>
  <c r="B34" i="4"/>
  <c r="C19" i="4"/>
  <c r="I12" i="1"/>
  <c r="B46" i="1"/>
  <c r="B33" i="4"/>
  <c r="I40" i="1"/>
  <c r="B11" i="4"/>
  <c r="B36" i="4"/>
  <c r="B53" i="4" s="1"/>
  <c r="B54" i="4" s="1"/>
  <c r="B39" i="1" s="1"/>
  <c r="B37" i="4"/>
  <c r="B38" i="4"/>
  <c r="B35" i="4"/>
  <c r="B51" i="4" s="1"/>
  <c r="B38" i="1" s="1"/>
  <c r="I31" i="1" s="1"/>
  <c r="B40" i="4"/>
  <c r="B55" i="4" s="1"/>
  <c r="B41" i="1" s="1"/>
  <c r="I32" i="1" l="1"/>
  <c r="J10" i="1"/>
  <c r="I34" i="1"/>
  <c r="I42" i="1"/>
  <c r="B41" i="4"/>
  <c r="I38" i="1"/>
  <c r="B48" i="1"/>
  <c r="B22" i="4"/>
  <c r="B23" i="4" s="1"/>
  <c r="B39" i="4"/>
  <c r="B24" i="4"/>
  <c r="B45" i="4" s="1"/>
  <c r="B46" i="4" s="1"/>
  <c r="B47" i="4" s="1"/>
  <c r="B37" i="1" s="1"/>
  <c r="B25" i="4"/>
  <c r="B48" i="4" s="1"/>
  <c r="B49" i="4" s="1"/>
  <c r="B42" i="4" l="1"/>
  <c r="B43" i="4" s="1"/>
  <c r="B35" i="1"/>
  <c r="B44" i="4"/>
  <c r="B40" i="1" s="1"/>
  <c r="I33" i="1" s="1"/>
  <c r="B50" i="4"/>
  <c r="B33" i="1" s="1"/>
  <c r="B32" i="1"/>
  <c r="F10" i="1"/>
  <c r="I30" i="1"/>
  <c r="F6" i="1" l="1"/>
  <c r="I26" i="1"/>
  <c r="J6" i="1"/>
  <c r="I27" i="1"/>
  <c r="H6" i="1"/>
  <c r="I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G12" authorId="0" shapeId="0" xr:uid="{00000000-0006-0000-0000-000003000000}">
      <text>
        <r>
          <rPr>
            <sz val="10"/>
            <rFont val="Arial"/>
            <family val="2"/>
          </rPr>
          <t>Latest Python/DSP audio-complexity datum for Ryk 1.10. Leave blank to use the 1–10 Music complexity rating proxy.</t>
        </r>
      </text>
    </comment>
    <comment ref="B18" authorId="0" shapeId="0" xr:uid="{00000000-0006-0000-0000-000001000000}">
      <text>
        <r>
          <rPr>
            <sz val="10"/>
            <rFont val="Arial"/>
            <family val="2"/>
          </rPr>
          <t>Adapter selector: LoRA or LoKr.</t>
        </r>
      </text>
    </comment>
    <comment ref="B43" authorId="0" shapeId="0" xr:uid="{00000000-0006-0000-0000-000002000000}">
      <text>
        <r>
          <rPr>
            <sz val="10"/>
            <rFont val="Arial"/>
            <family val="2"/>
          </rPr>
          <t>LoKr factor is separate from LoRA rank/alpha. The current base is -1 (automatic).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4" authorId="0" shapeId="0" xr:uid="{00000000-0006-0000-0100-000001000000}">
      <text>
        <r>
          <rPr>
            <sz val="10"/>
            <rFont val="Arial"/>
            <family val="2"/>
          </rPr>
          <t>Select the adapter actually used for this calibration datum.</t>
        </r>
      </text>
    </comment>
    <comment ref="B27" authorId="0" shapeId="0" xr:uid="{00000000-0006-0000-0100-000002000000}">
      <text>
        <r>
          <rPr>
            <sz val="10"/>
            <rFont val="Arial"/>
            <family val="2"/>
          </rPr>
          <t>For LoKr, use -1 for automatic factor selection or 1-8 for a fixed factor.</t>
        </r>
      </text>
    </comment>
  </commentList>
</comments>
</file>

<file path=xl/sharedStrings.xml><?xml version="1.0" encoding="utf-8"?>
<sst xmlns="http://schemas.openxmlformats.org/spreadsheetml/2006/main" count="535" uniqueCount="424">
  <si>
    <t>HOT-STEP  •  LoRA / LoKr TRAINING DASHBOARD</t>
  </si>
  <si>
    <t>Dataset-aware training recommendations  •  edit the blue/yellow fields  •  green values are calculated</t>
  </si>
  <si>
    <t>INPUTS  •  describe your dataset</t>
  </si>
  <si>
    <t>RECOMMENDED SETTINGS  •  ready to copy into the trainer</t>
  </si>
  <si>
    <t>Start with Dataset + Training choices. After a trial, enter feedback and the best checkpoint; calibration is optional.</t>
  </si>
  <si>
    <t>1  DATASET</t>
  </si>
  <si>
    <t>LORA RANK</t>
  </si>
  <si>
    <t>TRAINING STEPS</t>
  </si>
  <si>
    <t>ALPHA</t>
  </si>
  <si>
    <t>Input</t>
  </si>
  <si>
    <t>Your value</t>
  </si>
  <si>
    <t>Allowed</t>
  </si>
  <si>
    <t>Notes &amp; tips</t>
  </si>
  <si>
    <t>Number of tracks</t>
  </si>
  <si>
    <t>whole number, 1 or more</t>
  </si>
  <si>
    <t>How many separate songs are in the dataset. Count the ORIGINAL songs, not the clips they were cut into.
TIP: this is the biggest single driver of steps, rank and learning rate. Small datasets get a smaller rank and higher caption dropout.</t>
  </si>
  <si>
    <t>Total audio time (minutes)</t>
  </si>
  <si>
    <t>number above 0</t>
  </si>
  <si>
    <t>The combined length of ALL tracks in minutes (for example 38 tracks x about 4 minutes = 152).
TIP: check the folder's total duration in your file manager. A rough figure is fine; longer datasets raise the steps a little.</t>
  </si>
  <si>
    <t>Music complexity (1 - 10)</t>
  </si>
  <si>
    <t>dropdown 1 to 10</t>
  </si>
  <si>
    <t>How busy and layered the music is. 1 = sparse (a voice and one instrument), 10 = multi-layered, complicated music.
TIP: see the Guides sheet for examples at each level. If unsure, listen to three random tracks and rate the busiest one. Complexity drives steps, rank, learning rate, planner scale, timing weight and the decay shape.</t>
  </si>
  <si>
    <t>LEARNING RATE</t>
  </si>
  <si>
    <t>TIMING WEIGHT</t>
  </si>
  <si>
    <t>DROPOUT</t>
  </si>
  <si>
    <t>Tag quality (1 - 10) [legacy fallback]</t>
  </si>
  <si>
    <t>Legacy fallback only. If Average caption tags / track is filled, the latest Python v2 tag-count formula is used instead.</t>
  </si>
  <si>
    <t>Tracks split into short clips?</t>
  </si>
  <si>
    <t>No</t>
  </si>
  <si>
    <t>Yes / No</t>
  </si>
  <si>
    <t>Did you cut the songs into short clips for training?
TIP: Yes (or having fewer than 15 tracks) sets caption dropout to 0.50 to stop the model memorising captions; otherwise it is 0.35.</t>
  </si>
  <si>
    <t>Average caption tags / track [Python v2]</t>
  </si>
  <si>
    <t>number, 0+</t>
  </si>
  <si>
    <t>Latest Python method: count comma-separated tags in every &lt;track&gt;.yue2.txt and average over ALL tracks; tracks without a caption count as 0. 28+ gives the maximum caption richness factor (1.30).</t>
  </si>
  <si>
    <t>AUDIO COMPLEXITY [Python/DSP]</t>
  </si>
  <si>
    <t>CAPTION FACTOR [Python v2]</t>
  </si>
  <si>
    <t>2  TRAINING CHOICES</t>
  </si>
  <si>
    <t>DATASET PROFILE</t>
  </si>
  <si>
    <t>Tracks</t>
  </si>
  <si>
    <t>Minutes</t>
  </si>
  <si>
    <t>Complexity</t>
  </si>
  <si>
    <t>Optimizer</t>
  </si>
  <si>
    <t>AdamW</t>
  </si>
  <si>
    <t>dropdown</t>
  </si>
  <si>
    <t>The optimizer you train with.
TIP: Prodigy and Muon manage the learning rate themselves, so the learning rate result shows 'engine default' for them.</t>
  </si>
  <si>
    <t>Accumulation steps</t>
  </si>
  <si>
    <t>whole number 1 to 64</t>
  </si>
  <si>
    <t>Gradient accumulation steps in your trainer (1 if you do not use it).
TIP: the learning rate is divided by the square root of this number. If you change it later, re-copy the new learning rate.</t>
  </si>
  <si>
    <t>Tag quality</t>
  </si>
  <si>
    <t>Clips</t>
  </si>
  <si>
    <t>Decay shape</t>
  </si>
  <si>
    <t>Auto</t>
  </si>
  <si>
    <t>Auto / Cosine / Linear</t>
  </si>
  <si>
    <t>How the learning rate falls during the final decay phase.
TIP: leave on Auto. Auto picks Linear for very busy music (complexity 7 or more), otherwise Cosine. With an active calibration, Auto uses the shape from your calibration run.</t>
  </si>
  <si>
    <t>Adapter type</t>
  </si>
  <si>
    <t>LoRA</t>
  </si>
  <si>
    <t>LoRA / LoKr</t>
  </si>
  <si>
    <t>Select the adapter you are actually training. LoKr uses its own linear dimension, alpha, factor and epoch recipe; it is not treated as a different LoRA rank.</t>
  </si>
  <si>
    <t>3  TRIAL FEEDBACK</t>
  </si>
  <si>
    <t>TRIAL + CALIBRATION STATUS</t>
  </si>
  <si>
    <t>Instruments sound</t>
  </si>
  <si>
    <t>Good</t>
  </si>
  <si>
    <t>Good / Weak / Overcooked</t>
  </si>
  <si>
    <t>How do the instruments in your test generations sound compared with the dataset?
Good = close, good timbre.  Weak = lacks character.  Overcooked = near-exact copies / memorised.
TIP: Weak raises rank and learning rate. Overcooked lowers rank, raises caption dropout to 0.50 and lengthens the decay.</t>
  </si>
  <si>
    <t>Vocals sound</t>
  </si>
  <si>
    <t>Good / Weak / Overcooked / NA</t>
  </si>
  <si>
    <t>How do the vocals sound compared with the singer in the dataset? Choose NA for instrumental datasets.
TIP: Weak raises rank. Overcooked lowers the learning rate and raises caption dropout to 0.50.</t>
  </si>
  <si>
    <t>Best peak step (0 = first run)</t>
  </si>
  <si>
    <t>whole number, 0 or more</t>
  </si>
  <si>
    <t>The checkpoint step that sounded best in your trial run. Leave 0 on the first run.
TIP: save checkpoints often (for example every 25 to 50 steps) so you can find the peak. Entering it re-fits the schedule so the peak sits at the end of the stable phase and the decay follows.</t>
  </si>
  <si>
    <t>4  CALIBRATION</t>
  </si>
  <si>
    <t>TRAINER COPY BLOCK</t>
  </si>
  <si>
    <t>Rank</t>
  </si>
  <si>
    <t>Apply calibration corrections?</t>
  </si>
  <si>
    <t>Yes</t>
  </si>
  <si>
    <t>Yes = use the matching adapter calibration datum. No = use the uncorrected/base calculation. A LoRA calibration datum is never applied to LoKr.</t>
  </si>
  <si>
    <t>Alpha</t>
  </si>
  <si>
    <t>Calibration in use</t>
  </si>
  <si>
    <t>(shows automatically)</t>
  </si>
  <si>
    <t>Shows which calibration run is being applied, using the Run name from the Calibration sheet.</t>
  </si>
  <si>
    <t>Steps</t>
  </si>
  <si>
    <t>5  RECOMMENDED SETTINGS</t>
  </si>
  <si>
    <t>Learning Rate</t>
  </si>
  <si>
    <t>Setting</t>
  </si>
  <si>
    <t>Value</t>
  </si>
  <si>
    <t>Unit / range</t>
  </si>
  <si>
    <t>What it is &amp; tips</t>
  </si>
  <si>
    <t>Planner LR Scale</t>
  </si>
  <si>
    <t>Rank / linear dimension</t>
  </si>
  <si>
    <t>8, 16, 32, 64, 128 or 256</t>
  </si>
  <si>
    <t>LoRA: rank. LoKr: linear dimension.</t>
  </si>
  <si>
    <t>Caption Dropout</t>
  </si>
  <si>
    <t>Alpha / linear alpha</t>
  </si>
  <si>
    <t>usually equal to rank</t>
  </si>
  <si>
    <t>LoRA: alpha. LoKr: linear alpha.</t>
  </si>
  <si>
    <t>Decay Steps</t>
  </si>
  <si>
    <t>Timing Loss Weight</t>
  </si>
  <si>
    <t>about 0.05 to 0.15</t>
  </si>
  <si>
    <t>How strongly timing is weighted in the loss. Busier music gets a slightly higher value.</t>
  </si>
  <si>
    <t>Decay Shape</t>
  </si>
  <si>
    <t>Steps / epochs</t>
  </si>
  <si>
    <t>total training steps</t>
  </si>
  <si>
    <t>LoRA: training steps. LoKr: training epochs.</t>
  </si>
  <si>
    <t>Accumulation</t>
  </si>
  <si>
    <t>as chosen</t>
  </si>
  <si>
    <t>The optimizer you selected in section 2, repeated here so you can copy all settings from one block.</t>
  </si>
  <si>
    <t>per-step learning rate</t>
  </si>
  <si>
    <t>The learning rate to enter in the trainer, already adjusted for your accumulation steps. 'engine default' means the optimizer sets it itself.</t>
  </si>
  <si>
    <t>WHY THESE NUMBERS?</t>
  </si>
  <si>
    <t>Planner Learning-Rate Scale</t>
  </si>
  <si>
    <t>about 0.20 to 0.50</t>
  </si>
  <si>
    <t>Scale for the planner's learning rate. Higher for busier music.</t>
  </si>
  <si>
    <t>Combined complexity</t>
  </si>
  <si>
    <t>0 to 0.9</t>
  </si>
  <si>
    <t>Fraction of training steps where the caption is dropped. Higher values reduce caption memorisation.
TIP: if generations just copy the training songs (Overcooked), this goes to 0.50 or higher automatically.</t>
  </si>
  <si>
    <t>Audio complexity score</t>
  </si>
  <si>
    <t>Decay / schedule steps</t>
  </si>
  <si>
    <t>steps in the final decay phase</t>
  </si>
  <si>
    <t>LoRA: decay steps. LoKr: not used by the LoKr trainer; shown only for schedule context.</t>
  </si>
  <si>
    <t>Caption richness</t>
  </si>
  <si>
    <t>Decay shape / schedule</t>
  </si>
  <si>
    <t>Cosine / Linear</t>
  </si>
  <si>
    <t>LoRA: Cosine/Linear. LoKr: the LoKr trainer uses its own epoch schedule.</t>
  </si>
  <si>
    <t>Dataset-size curve</t>
  </si>
  <si>
    <t>Accumulation Steps</t>
  </si>
  <si>
    <t>Gradient accumulation steps, repeated from section 2.</t>
  </si>
  <si>
    <t>LoKr factor</t>
  </si>
  <si>
    <t>-1 (auto) or 1-8</t>
  </si>
  <si>
    <t>LoKr-only Kronecker factor. -1 = automatic factor selection. LoRA ignores this field.</t>
  </si>
  <si>
    <t>6  CALCULATION INSIGHT</t>
  </si>
  <si>
    <t>Item</t>
  </si>
  <si>
    <t>Meaning</t>
  </si>
  <si>
    <t>WORKFLOW</t>
  </si>
  <si>
    <t>0.60 to 1.60</t>
  </si>
  <si>
    <t>Your 1-10 complexity rating converted to the score the desktop calculator derives from audio analysis.</t>
  </si>
  <si>
    <t>1  Describe dataset → read the green recommendations.</t>
  </si>
  <si>
    <t>Caption richness factor</t>
  </si>
  <si>
    <t>0.80 to 1.30</t>
  </si>
  <si>
    <t>Your 1-10 tag-quality rating converted to the caption factor (10 equals a full 28-tag caption).</t>
  </si>
  <si>
    <t>2  Train a trial and inspect checkpoints.</t>
  </si>
  <si>
    <t>Audio complexity x caption richness. This one number feeds the steps, learning rate and rank.</t>
  </si>
  <si>
    <t>3  Enter feedback + best peak step → recalculate.</t>
  </si>
  <si>
    <t>Feedback applied</t>
  </si>
  <si>
    <t>Which trial-run feedback is changing the settings.</t>
  </si>
  <si>
    <t>4  Add a proven run to Calibration → switch Apply calibration to Yes.</t>
  </si>
  <si>
    <t>Calibration applied</t>
  </si>
  <si>
    <t>Whether the Calibration sheet is changing the settings.</t>
  </si>
  <si>
    <t>Step schedule</t>
  </si>
  <si>
    <t>How the total steps were chosen.</t>
  </si>
  <si>
    <t>ESTIMATE ONLY  •  These formulas mirror the desktop calculator but use your ratings instead of measured audio features. Use the result as a starting point and refine it from real training runs.</t>
  </si>
  <si>
    <t>Estimate only. The formulas mirror the desktop calculator but use your ratings in place of measured audio features, so expect it to be less precise. The curves are heuristics and have not been validated on real training runs.</t>
  </si>
  <si>
    <t>Calibration  -  teach the calculator what worked</t>
  </si>
  <si>
    <t>This sheet is seeded from the Python calibration.cfg run Ryk 1.10. The exact Python baseline/worked datum is retained below so the calculator starts from the same calibration point.</t>
  </si>
  <si>
    <t>Legend:</t>
  </si>
  <si>
    <t>Yellow + blue text = you edit</t>
  </si>
  <si>
    <t>Green = calculated</t>
  </si>
  <si>
    <t>Python calibration imported: Ryk 1.10</t>
  </si>
  <si>
    <t>A.  THE DATASET THE SETTINGS WORKED ON</t>
  </si>
  <si>
    <t>Run name</t>
  </si>
  <si>
    <t>Ryk 1.10</t>
  </si>
  <si>
    <t>any text</t>
  </si>
  <si>
    <t>A name for this calibration. It is shown on the Calculator sheet when calibration is in use.
TIP: use something you will recognise, such as the singer or album.</t>
  </si>
  <si>
    <t>Dataset name</t>
  </si>
  <si>
    <t>Royksopp Select 10 v4</t>
  </si>
  <si>
    <t>any text (record only)</t>
  </si>
  <si>
    <t>The folder or dataset name. Kept for your records; it does not change any calculation.</t>
  </si>
  <si>
    <t>How many songs were in THAT dataset (the one the settings worked on).</t>
  </si>
  <si>
    <t>Combined length of all tracks in that dataset, in minutes.</t>
  </si>
  <si>
    <t>Rate that dataset's music with the same scale as the Calculator sheet (see the Guides sheet).</t>
  </si>
  <si>
    <t>Tag quality (1 - 10)</t>
  </si>
  <si>
    <t>Rate that dataset's captions with the same scale as the Calculator sheet.</t>
  </si>
  <si>
    <t>Were that dataset's songs cut into clips?</t>
  </si>
  <si>
    <t>The adapter type used by this calibration run. It must match the Calculator adapter type before corrections are applied.</t>
  </si>
  <si>
    <t>B.  THE SETTINGS THAT WORKED</t>
  </si>
  <si>
    <t>What worked</t>
  </si>
  <si>
    <t>8, 16, 32, 64, 128, 256</t>
  </si>
  <si>
    <t>LoRA rank; LoKr linear dimension.</t>
  </si>
  <si>
    <t>LoRA alpha; LoKr linear alpha.</t>
  </si>
  <si>
    <t>Timing loss weight</t>
  </si>
  <si>
    <t>The timing loss weight you used.</t>
  </si>
  <si>
    <t>Steps / epochs (total)</t>
  </si>
  <si>
    <t>whole number</t>
  </si>
  <si>
    <t>LoRA: total training steps. LoKr: total training epochs.</t>
  </si>
  <si>
    <t>Learning rate (as entered)</t>
  </si>
  <si>
    <t>The learning rate you typed into the trainer, as is.
TIP: leave blank if you used Prodigy or Muon.</t>
  </si>
  <si>
    <t>Accumulation steps used</t>
  </si>
  <si>
    <t>Gradient accumulation used in the calibration run; used to compare learning rates fairly.</t>
  </si>
  <si>
    <t>Planner learning-rate scale</t>
  </si>
  <si>
    <t>The planner learning-rate scale you used.</t>
  </si>
  <si>
    <t>Caption dropout</t>
  </si>
  <si>
    <t>The caption dropout you used.</t>
  </si>
  <si>
    <t>Average caption tags / track (Python v2)</t>
  </si>
  <si>
    <t>The Ryk 1.10 datum uses the latest Python caption calculation. 28+ tags produces the maximum richness factor of 1.30.</t>
  </si>
  <si>
    <t>Cosine</t>
  </si>
  <si>
    <t>The decay shape you used.</t>
  </si>
  <si>
    <t>LoKr Kronecker factor. -1 lets the trainer choose automatically.</t>
  </si>
  <si>
    <t>C.  ANALYSER RESULTS FOR THAT RUN  (for your records - they do not change the calculation)</t>
  </si>
  <si>
    <t>Best checkpoint step / epoch</t>
  </si>
  <si>
    <t>Which checkpoint your analyser or ears judged best.
TIP: if this is far below the total steps, consider using the shorter length in B.</t>
  </si>
  <si>
    <t>Singer score</t>
  </si>
  <si>
    <t>number</t>
  </si>
  <si>
    <t>Voice-match score from your comparison tool, if you have one.</t>
  </si>
  <si>
    <t>Vibe score</t>
  </si>
  <si>
    <t>Overall sound-match score from your comparison tool, if you have one.</t>
  </si>
  <si>
    <t>Instruments verdict</t>
  </si>
  <si>
    <t>Your judgement of the instruments at the best checkpoint.</t>
  </si>
  <si>
    <t>Vocals verdict</t>
  </si>
  <si>
    <t>Your judgement of the vocals at the best checkpoint.</t>
  </si>
  <si>
    <t>D.  PYTHON CALIBRATION DATUM (from calibration.cfg)</t>
  </si>
  <si>
    <t>Baseline learning rate</t>
  </si>
  <si>
    <t>Python datum before calibration correction</t>
  </si>
  <si>
    <t>What it means</t>
  </si>
  <si>
    <t>Baseline rank</t>
  </si>
  <si>
    <t>Multiplier on the plain learning rate. Compared before accumulation scaling so runs with different accumulation stay comparable.</t>
  </si>
  <si>
    <t>Baseline peak step</t>
  </si>
  <si>
    <t>Python datum</t>
  </si>
  <si>
    <t>Multiplier on the plain rank capacity. The result is then rounded to a valid rank (8, 16, 32, 64, 128, 256).</t>
  </si>
  <si>
    <t>Baseline timing loss weight</t>
  </si>
  <si>
    <t>Multiplier on the plain total steps. On the calibration dataset itself this reproduces your steps exactly.</t>
  </si>
  <si>
    <t>Baseline planner scale</t>
  </si>
  <si>
    <t>Multiplier on the plain timing loss weight.</t>
  </si>
  <si>
    <t>Baseline caption dropout</t>
  </si>
  <si>
    <t>Multiplier on the plain planner scale.</t>
  </si>
  <si>
    <t>Worked total steps / epochs</t>
  </si>
  <si>
    <t>Added to the plain dropout (a shift, not a multiplier).</t>
  </si>
  <si>
    <t>Worked decay steps</t>
  </si>
  <si>
    <t>Decay steps divided by total steps. Applied to the total steps of any dataset.</t>
  </si>
  <si>
    <t>Worked learning rate</t>
  </si>
  <si>
    <t>Keeps the same alpha-to-rank ratio you used.</t>
  </si>
  <si>
    <t>Worked rank</t>
  </si>
  <si>
    <t>Used when the decay shape on the Calculator sheet is left on Auto.</t>
  </si>
  <si>
    <t>Worked alpha</t>
  </si>
  <si>
    <t>How many corrections will be applied.</t>
  </si>
  <si>
    <t>Worked timing loss weight</t>
  </si>
  <si>
    <t>Worked planner scale</t>
  </si>
  <si>
    <t>Worked caption dropout</t>
  </si>
  <si>
    <t>Measured audio complexity (Python DSP)</t>
  </si>
  <si>
    <t>Python DSP score</t>
  </si>
  <si>
    <t>Exact datum value implied by the original Python baseline: combined complexity 1.67483284219202 ÷ caption factor 1.30.</t>
  </si>
  <si>
    <t>Python DSP × Python v2 caption richness</t>
  </si>
  <si>
    <t>Should equal 1.67483284219202 for Ryk 1.10.</t>
  </si>
  <si>
    <t>E.  EXACT PYTHON CORRECTION FACTORS</t>
  </si>
  <si>
    <t>Correction factor</t>
  </si>
  <si>
    <t>Python datum: baseline → worked</t>
  </si>
  <si>
    <t>Learning rate</t>
  </si>
  <si>
    <t>0.00006091 → 0.00007000</t>
  </si>
  <si>
    <t>Exact Python LR correction</t>
  </si>
  <si>
    <t>38.3029 → 64</t>
  </si>
  <si>
    <t>Exact Python rank correction</t>
  </si>
  <si>
    <t>610 → 380</t>
  </si>
  <si>
    <t>Exact spreadsheet/Python baseline-step datum</t>
  </si>
  <si>
    <t>0.12 → 0.12</t>
  </si>
  <si>
    <t>Exact Python timing correction</t>
  </si>
  <si>
    <t>0.47 → 0.47</t>
  </si>
  <si>
    <t>Exact Python planner correction</t>
  </si>
  <si>
    <t>Caption dropout shift</t>
  </si>
  <si>
    <t>0.50 → 0.50</t>
  </si>
  <si>
    <t>Exact Python dropout shift</t>
  </si>
  <si>
    <t>Decay share of run</t>
  </si>
  <si>
    <t>140 / 380</t>
  </si>
  <si>
    <t>Exact Python decay share</t>
  </si>
  <si>
    <t>Alpha divided by rank</t>
  </si>
  <si>
    <t>64 / 64</t>
  </si>
  <si>
    <t>Exact Python alpha/rank ratio</t>
  </si>
  <si>
    <t>Exact Python decay shape</t>
  </si>
  <si>
    <t>Verification</t>
  </si>
  <si>
    <t>LR ×1.14917905095584; Rank ×1.67089390376475; Steps ×0.622950819672131; Decay 140/380; Alpha/Rank 1:1; Timing 0.12; Planner 0.47; Dropout 0.50; Shape Cosine.</t>
  </si>
  <si>
    <t>These reproduce the original Python Ryk 1.10 datum.</t>
  </si>
  <si>
    <t>Status</t>
  </si>
  <si>
    <t>9 of 9 Python datum corrections loaded</t>
  </si>
  <si>
    <t>Note</t>
  </si>
  <si>
    <t>With Apply calibration = Yes, the exact Python datum is authoritative: outputs reproduce the Ryk 1.10 worked run. Turn calibration off to return to the spreadsheet's normal rating-based engine.</t>
  </si>
  <si>
    <t>Guides  -  how to rate your dataset and what the calculator does</t>
  </si>
  <si>
    <t>MUSIC COMPLEXITY  (1 - 10)</t>
  </si>
  <si>
    <t>Rating</t>
  </si>
  <si>
    <t>What it sounds like</t>
  </si>
  <si>
    <t>Sparse: a voice with one quiet instrument, slow, almost nothing changing.</t>
  </si>
  <si>
    <t>Very simple: voice plus one instrument (acoustic guitar or piano), steady dynamics.</t>
  </si>
  <si>
    <t>Simple: small band or minimal electronic, only a few layers.</t>
  </si>
  <si>
    <t>Moderate: a standard pop or rock arrangement with a clean mix.</t>
  </si>
  <si>
    <t>Typical full track: drums, bass, chords, a lead and a vocal, some variation.</t>
  </si>
  <si>
    <t>Fairly busy: many layers, some fast changes and effects.</t>
  </si>
  <si>
    <t>Dense: lots of synth layers, stereo effects and frequent transients (typical modern synthpop or dance music).</t>
  </si>
  <si>
    <t>Very dense: heavily layered, wide frequency range, rapid changes.</t>
  </si>
  <si>
    <t>Extremely layered: sound-design heavy with constant movement.</t>
  </si>
  <si>
    <t>Maximum: multi-layered, complicated music throughout (orchestral plus electronic, glitch, breakcore).</t>
  </si>
  <si>
    <t>TAG QUALITY  (1 - 10, 10 is best)</t>
  </si>
  <si>
    <t>What the captions look like</t>
  </si>
  <si>
    <t>About this many tags</t>
  </si>
  <si>
    <t>Missing, or a single genre word.</t>
  </si>
  <si>
    <t>Genre plus one or two words.</t>
  </si>
  <si>
    <t>Genre, mood and BPM only.</t>
  </si>
  <si>
    <t>Genre plus a few instruments.</t>
  </si>
  <si>
    <t>Genre, main instruments and mood.</t>
  </si>
  <si>
    <t>Genre, instruments, mood and a little about the vocal.</t>
  </si>
  <si>
    <t>Instruments, vocal style, mix and mood described.</t>
  </si>
  <si>
    <t>Detailed: instruments, vocal processing, mix, mood and BPM.</t>
  </si>
  <si>
    <t>Very detailed on every part of the sound.</t>
  </si>
  <si>
    <t>Best: about 28 specific tags covering genre, instruments, vocal delivery, effects, mix, mood and BPM.</t>
  </si>
  <si>
    <t>TIP: tags per track are what count. The desktop calculator counts the comma-separated tags in each &lt;trackname&gt;.yue2.txt file; 1 = about 4 tags or fewer, 10 = about 28 tags or more. Tracks with no caption pull the average down.</t>
  </si>
  <si>
    <t>WHAT EACH INPUT CHANGES</t>
  </si>
  <si>
    <t>Effect</t>
  </si>
  <si>
    <t>Main driver of steps, learning rate and rank. Also sets caption dropout (fewer than 15 tracks = 0.50).</t>
  </si>
  <si>
    <t>Total time</t>
  </si>
  <si>
    <t>Raises the steps a little as the dataset gets longer.</t>
  </si>
  <si>
    <t>Raises steps, learning rate and rank; also sets planner scale, timing loss weight and (with Auto) the decay shape.</t>
  </si>
  <si>
    <t>Raises steps, learning rate (about +28% from poorest to best tags) and rank capacity. Planner scale, timing weight, dropout and decay shape are not affected.</t>
  </si>
  <si>
    <t>Instruments Weak</t>
  </si>
  <si>
    <t>Rank x1.25 and learning rate x1.15.</t>
  </si>
  <si>
    <t>Instruments Overcooked</t>
  </si>
  <si>
    <t>Rank x0.75, caption dropout to 0.50, decay 5% longer.</t>
  </si>
  <si>
    <t>ADAPTER TYPE: LoRA / LoKr + CALIBRATION SWITCH</t>
  </si>
  <si>
    <t>Rank x1.20.</t>
  </si>
  <si>
    <t>Calculator: Adapter type selects LoRA or LoKr. Correction mode is the existing Apply calibration corrections? Yes/No dropdown.</t>
  </si>
  <si>
    <t>Learning rate x0.85 and caption dropout to 0.50.</t>
  </si>
  <si>
    <t>LoRA: the existing Python v2 calculation and Ryk 1.10 calibration remain unchanged when LoRA + Yes are selected.</t>
  </si>
  <si>
    <t>Total steps re-fitted so the peak sits at the end of the stable phase (about 60% of the run), with the decay after it.</t>
  </si>
  <si>
    <t>LoKr: the calculator switches to LoKr-specific parameters rather than treating LoKr as a LoRA rank. Current ACE-Step 1.5 documentation lists LoKr defaults of linear_dim 64, linear_alpha 128, factor -1, learning rate 0.03, 500 epochs and gradient accumulation 4.</t>
  </si>
  <si>
    <t>Learning rate divided by the square root of the accumulation steps.</t>
  </si>
  <si>
    <t>Calibration is adapter-specific. The Ryk 1.10 datum is LoRA, so it cannot be applied to LoKr. To calibrate LoKr, enter a real LoKr run on the Calibration sheet, set Adapter type to LoKr, and enter the settings that actually worked.</t>
  </si>
  <si>
    <t>Prodigy and Muon show 'engine default' for the learning rate.</t>
  </si>
  <si>
    <t>With Calibration corrections set to No, the selected adapter uses its base calculation. With Yes, corrections are used only when the Calibration sheet adapter type matches the Calculator adapter type.</t>
  </si>
  <si>
    <t>Multiplies the plain steps, learning rate, rank, timing weight and planner scale by the factors on the Calibration sheet.</t>
  </si>
  <si>
    <t>LoKr recommended fields</t>
  </si>
  <si>
    <t>The Calculator shows LoKr learning rate, epochs, linear dimension, linear alpha, gradient accumulation and Kronecker factor separately from the LoRA rank/alpha fields.</t>
  </si>
  <si>
    <t>Base LoKr recipe is kept separate from the LoRA Python calibration. A matching LoKr calibration can be entered on the Calibration sheet and then enabled with the Yes/No correction dropdown.</t>
  </si>
  <si>
    <t>2.  Listen to the checkpoints. Note the best step and whether the instruments and vocals sound Good, Weak or Overcooked.</t>
  </si>
  <si>
    <t>3.  Enter those in section 3 and read the updated settings for the next run.</t>
  </si>
  <si>
    <t>4.  When a run produces a LoRA you are happy with, copy its settings into the Calibration sheet (and describe its dataset), set 'Apply calibration' to Yes, and use the Calculator for new datasets.</t>
  </si>
  <si>
    <t>5.  Remember: this sheet is an estimate built from ratings. The desktop calculator measures the audio for you and will be more precise.</t>
  </si>
  <si>
    <t>LATEST PYTHON V2 CAPTION CALCULATION</t>
  </si>
  <si>
    <t>Average tags per track</t>
  </si>
  <si>
    <t>Count comma-separated tags in each &lt;track&gt;.yue2.txt; average across ALL parent tracks. A track with no caption contributes 0.</t>
  </si>
  <si>
    <t>0.80 + 0.50 × clamp((average tags − 4) / 24, 0, 1). 4 tags or fewer = 0.80; 28+ tags = 1.30.</t>
  </si>
  <si>
    <t>Legacy tag quality</t>
  </si>
  <si>
    <t>The 1–10 Tag quality field remains as a fallback only when the Python average-tag field is blank.</t>
  </si>
  <si>
    <t>Ryk 1.10 datum</t>
  </si>
  <si>
    <t>28+ average tags → caption factor 1.30. Python audio complexity = 1.2883329555. Combined complexity = 1.6748328422.</t>
  </si>
  <si>
    <t>Engine - adapter-aware workings (do not edit)</t>
  </si>
  <si>
    <t>Exact factors</t>
  </si>
  <si>
    <t>Column B calculates your dataset. Column C retains the calibration dataset. F contains correction factors for the selected adapter.</t>
  </si>
  <si>
    <t>Your dataset</t>
  </si>
  <si>
    <t>Calibration dataset</t>
  </si>
  <si>
    <t>Calibration datum</t>
  </si>
  <si>
    <t>Total minutes</t>
  </si>
  <si>
    <t>Complexity rating</t>
  </si>
  <si>
    <t>Input (1-10)</t>
  </si>
  <si>
    <t>Tag quality rating (legacy)</t>
  </si>
  <si>
    <t>Split into clips?</t>
  </si>
  <si>
    <t>Input (Yes/No)</t>
  </si>
  <si>
    <t>Python/DSP audio complexity when Calculator!G12 is populated; otherwise the legacy 1–10 proxy is used.</t>
  </si>
  <si>
    <t>Caption richness factor (Python v2)</t>
  </si>
  <si>
    <t>Latest Python v2: 0.80 + 0.50 × clamp((average tags − 4) / 24, 0, 1). Average is across ALL tracks.</t>
  </si>
  <si>
    <t>Combined complexity (Python v2)</t>
  </si>
  <si>
    <t>Audio complexity × Python caption richness factor.</t>
  </si>
  <si>
    <t>Spectral variance score</t>
  </si>
  <si>
    <t>Legacy spreadsheet proxy only; the Python engine derives variance from measured spectral flux/centroid/RMS.</t>
  </si>
  <si>
    <t>Duration (hours)</t>
  </si>
  <si>
    <t>Minutes / 60, at least 0.05</t>
  </si>
  <si>
    <t>LoKr base epoch horizon</t>
  </si>
  <si>
    <t>Current ACE-Step 1.5 LoKr default: 500 epochs.</t>
  </si>
  <si>
    <t>LoKr base learning rate</t>
  </si>
  <si>
    <t>Current ACE-Step 1.5 LoKr default learning rate.</t>
  </si>
  <si>
    <t>Smooth step centred on 35 tracks</t>
  </si>
  <si>
    <t>LoKr linear dimension</t>
  </si>
  <si>
    <t>Rises with dataset size and sqrt(complexity)</t>
  </si>
  <si>
    <t>LoKr linear alpha</t>
  </si>
  <si>
    <t>log2(tracks / 3)</t>
  </si>
  <si>
    <t>(5.5 + 10 x volume term) x complexity</t>
  </si>
  <si>
    <t>LoKr gradient accumulation</t>
  </si>
  <si>
    <t>Capped by dataset size</t>
  </si>
  <si>
    <t>LoRA largest rank allowed</t>
  </si>
  <si>
    <t>Capacity limited by the cap</t>
  </si>
  <si>
    <t>LoRA base steps</t>
  </si>
  <si>
    <t>0.20 to 0.50</t>
  </si>
  <si>
    <t>LoRA pure total steps</t>
  </si>
  <si>
    <t>0.05 to 0.15</t>
  </si>
  <si>
    <t>LoRA base learning rate</t>
  </si>
  <si>
    <t>0.50 for clips or fewer than 15 tracks, else 0.35</t>
  </si>
  <si>
    <t>LoRA base rank raw</t>
  </si>
  <si>
    <t>Rank multiplier (feedback)</t>
  </si>
  <si>
    <t>Instruments and vocals feedback</t>
  </si>
  <si>
    <t>Learning-rate multiplier (feedback)</t>
  </si>
  <si>
    <t>Instruments Weak x1.15, vocals Overcooked x0.85</t>
  </si>
  <si>
    <t>Any Overcooked? (1 = yes)</t>
  </si>
  <si>
    <t>Forces caption dropout to at least 0.50</t>
  </si>
  <si>
    <t>Extra decay share (feedback)</t>
  </si>
  <si>
    <t>Instruments Overcooked adds 5%</t>
  </si>
  <si>
    <t>Calibration on? (1 = yes)</t>
  </si>
  <si>
    <t>Calibration is active only when the calibration datum adapter matches the selected adapter.</t>
  </si>
  <si>
    <t>Calibration: learning-rate factor</t>
  </si>
  <si>
    <t>1 when off or not entered</t>
  </si>
  <si>
    <t>Calibration: rank factor</t>
  </si>
  <si>
    <t>Calibration: alpha / rank</t>
  </si>
  <si>
    <t>Calibration: timing factor</t>
  </si>
  <si>
    <t>Calibration: planner factor</t>
  </si>
  <si>
    <t>Calibration: dropout shift</t>
  </si>
  <si>
    <t>Calibration: decay share</t>
  </si>
  <si>
    <t>Blank when off or not entered</t>
  </si>
  <si>
    <t>Calibration steps available? (1 = yes)</t>
  </si>
  <si>
    <t>Calibration: steps factor</t>
  </si>
  <si>
    <t>Calibration: decay shape</t>
  </si>
  <si>
    <t>Decay share / schedule context</t>
  </si>
  <si>
    <t>40% by default</t>
  </si>
  <si>
    <t>Total steps / epochs before peak re-fit</t>
  </si>
  <si>
    <t>TOTAL STEPS / EPOCHS</t>
  </si>
  <si>
    <t>Peak step re-fit when entered</t>
  </si>
  <si>
    <t>DECAY STEPS / EPOCHS</t>
  </si>
  <si>
    <t>Learning rate before accumulation</t>
  </si>
  <si>
    <t>Plain x calibration x feedback</t>
  </si>
  <si>
    <t>Learning rate after accumulation</t>
  </si>
  <si>
    <t>Divided by sqrt(accumulation)</t>
  </si>
  <si>
    <t>Rank / linear dimension before rounding</t>
  </si>
  <si>
    <t>RANK / LINEAR DIM</t>
  </si>
  <si>
    <t>ALPHA / LINEAR ALPHA</t>
  </si>
  <si>
    <t>PLANNER SCALE</t>
  </si>
  <si>
    <t>Planner scale is a LoRA-specific HOT-Step setting; LoKr does not use this field.</t>
  </si>
  <si>
    <t>TIMING LOSS WEIGHT</t>
  </si>
  <si>
    <t>Timing loss weight is a LoRA-specific HOT-Step setting; LoKr does not use this field.</t>
  </si>
  <si>
    <t>Caption dropout before feedback</t>
  </si>
  <si>
    <t>CAPTION DROPOUT</t>
  </si>
  <si>
    <t>Caption dropout is a LoRA-specific field; LoKr trainer uses its own LoKr parameter set.</t>
  </si>
  <si>
    <t>DECAY SHAPE</t>
  </si>
  <si>
    <t>LoKr does not use the LoRA decay-shape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</si>
</sst>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
    <numFmt numFmtId="167" formatCode="0.000"/>
    <numFmt numFmtId="168" formatCode="0.00#"/>
  </numFmts>
  <fonts count="28" x14ac:knownFonts="1">
    <font>
      <sz val="11"/>
      <color theme="1"/>
      <name val="Calibri"/>
      <family val="2"/>
      <charset val="1"/>
    </font>
    <font>
      <sz val="10"/>
      <name val="Arial"/>
      <family val="2"/>
    </font>
    <font>
      <b/>
      <sz val="20"/>
      <color rgb="FFFFFFFF"/>
      <name val="Aptos Display"/>
      <family val="2"/>
    </font>
    <font>
      <i/>
      <sz val="11"/>
      <color rgb="FFD9E7FF"/>
      <name val="Cambria"/>
      <family val="1"/>
    </font>
    <font>
      <b/>
      <sz val="11"/>
      <color rgb="FF172033"/>
      <name val="Cambria"/>
      <family val="1"/>
    </font>
    <font>
      <sz val="10"/>
      <color rgb="FF172033"/>
      <name val="Aptos"/>
      <family val="2"/>
    </font>
    <font>
      <sz val="10"/>
      <color rgb="FF64748B"/>
      <name val="Cambria"/>
      <family val="1"/>
    </font>
    <font>
      <b/>
      <sz val="11"/>
      <color rgb="FFFFFFFF"/>
      <name val="Cambria"/>
      <family val="1"/>
    </font>
    <font>
      <b/>
      <sz val="9"/>
      <color rgb="FFFFFFFF"/>
      <name val="Cambria"/>
      <family val="1"/>
    </font>
    <font>
      <b/>
      <sz val="9"/>
      <color rgb="FF172033"/>
      <name val="Cambria"/>
      <family val="1"/>
    </font>
    <font>
      <b/>
      <sz val="16"/>
      <color rgb="FF172033"/>
      <name val="Cambria"/>
      <family val="1"/>
    </font>
    <font>
      <b/>
      <sz val="11"/>
      <color rgb="FF1D4ED8"/>
      <name val="Cambria"/>
      <family val="1"/>
    </font>
    <font>
      <b/>
      <sz val="11"/>
      <name val="Cambria"/>
      <family val="1"/>
    </font>
    <font>
      <b/>
      <sz val="11"/>
      <color rgb="FF0000FF"/>
      <name val="Cambria"/>
      <family val="1"/>
    </font>
    <font>
      <b/>
      <sz val="11"/>
      <color rgb="FF008000"/>
      <name val="Cambria"/>
      <family val="1"/>
    </font>
    <font>
      <b/>
      <sz val="10"/>
      <color rgb="FFFFFFFF"/>
      <name val="Cambria"/>
      <family val="1"/>
    </font>
    <font>
      <b/>
      <sz val="9"/>
      <color rgb="FF64748B"/>
      <name val="Cambria"/>
      <family val="1"/>
    </font>
    <font>
      <b/>
      <sz val="12"/>
      <color rgb="FF172033"/>
      <name val="Cambria"/>
      <family val="1"/>
    </font>
    <font>
      <b/>
      <sz val="11"/>
      <color rgb="FF16A34A"/>
      <name val="Cambria"/>
      <family val="1"/>
    </font>
    <font>
      <b/>
      <sz val="10"/>
      <color rgb="FF172033"/>
      <name val="Cambria"/>
      <family val="1"/>
    </font>
    <font>
      <b/>
      <sz val="12"/>
      <color rgb="FF16A34A"/>
      <name val="Cambria"/>
      <family val="1"/>
    </font>
    <font>
      <sz val="9"/>
      <color rgb="FF64748B"/>
      <name val="Cambria"/>
      <family val="1"/>
    </font>
    <font>
      <sz val="9"/>
      <color rgb="FF172033"/>
      <name val="Cambria"/>
      <family val="1"/>
    </font>
    <font>
      <b/>
      <sz val="9"/>
      <color rgb="FF92400E"/>
      <name val="Cambria"/>
      <family val="1"/>
    </font>
    <font>
      <b/>
      <sz val="17"/>
      <color rgb="FFFFFFFF"/>
      <name val="Aptos Display"/>
      <family val="2"/>
    </font>
    <font>
      <sz val="10"/>
      <color rgb="FFD9E7FF"/>
      <name val="Cambria"/>
      <family val="1"/>
    </font>
    <font>
      <b/>
      <sz val="12"/>
      <name val="Cambria"/>
      <family val="1"/>
    </font>
    <font>
      <b/>
      <sz val="14"/>
      <name val="Cambria"/>
      <family val="1"/>
    </font>
  </fonts>
  <fills count="25">
    <fill>
      <patternFill patternType="none"/>
    </fill>
    <fill>
      <patternFill patternType="gray125"/>
    </fill>
    <fill>
      <patternFill patternType="solid">
        <fgColor rgb="FF172033"/>
        <bgColor rgb="FF202C44"/>
      </patternFill>
    </fill>
    <fill>
      <patternFill patternType="solid">
        <fgColor rgb="FF202C44"/>
        <bgColor rgb="FF172033"/>
      </patternFill>
    </fill>
    <fill>
      <patternFill patternType="solid">
        <fgColor rgb="FFE8EEF7"/>
        <bgColor rgb="FFEAF2FF"/>
      </patternFill>
    </fill>
    <fill>
      <patternFill patternType="solid">
        <fgColor rgb="FFF4F7FB"/>
        <bgColor rgb="FFF2F2F2"/>
      </patternFill>
    </fill>
    <fill>
      <patternFill patternType="solid">
        <fgColor rgb="FFFFFFFF"/>
        <bgColor rgb="FFF4F7FB"/>
      </patternFill>
    </fill>
    <fill>
      <patternFill patternType="solid">
        <fgColor rgb="FF16A34A"/>
        <bgColor rgb="FF2E7D32"/>
      </patternFill>
    </fill>
    <fill>
      <patternFill patternType="solid">
        <fgColor rgb="FFDCFCE7"/>
        <bgColor rgb="FFDFF7E7"/>
      </patternFill>
    </fill>
    <fill>
      <patternFill patternType="solid">
        <fgColor rgb="FFFFF4C2"/>
        <bgColor rgb="FFFEF3C7"/>
      </patternFill>
    </fill>
    <fill>
      <patternFill patternType="solid">
        <fgColor rgb="FF3B82F6"/>
        <bgColor rgb="FF64748B"/>
      </patternFill>
    </fill>
    <fill>
      <patternFill patternType="solid">
        <fgColor rgb="FFEAF2FF"/>
        <bgColor rgb="FFE8EEF7"/>
      </patternFill>
    </fill>
    <fill>
      <patternFill patternType="solid">
        <fgColor rgb="FFFFF2CC"/>
        <bgColor rgb="FFFEF3C7"/>
      </patternFill>
    </fill>
    <fill>
      <patternFill patternType="solid">
        <fgColor rgb="FFD9EAF7"/>
        <bgColor rgb="FFD9E7FF"/>
      </patternFill>
    </fill>
    <fill>
      <patternFill patternType="solid">
        <fgColor rgb="FFDFF7E7"/>
        <bgColor rgb="FFDCFCE7"/>
      </patternFill>
    </fill>
    <fill>
      <patternFill patternType="solid">
        <fgColor rgb="FFE2F0D9"/>
        <bgColor rgb="FFDFF7E7"/>
      </patternFill>
    </fill>
    <fill>
      <patternFill patternType="solid">
        <fgColor rgb="FFFEF3C7"/>
        <bgColor rgb="FFFFF4C2"/>
      </patternFill>
    </fill>
    <fill>
      <patternFill patternType="solid">
        <fgColor rgb="FF5B2C83"/>
        <bgColor rgb="FF660066"/>
      </patternFill>
    </fill>
    <fill>
      <patternFill patternType="solid">
        <fgColor rgb="FFD9E1F2"/>
        <bgColor rgb="FFD9E2EC"/>
      </patternFill>
    </fill>
    <fill>
      <patternFill patternType="solid">
        <fgColor rgb="FFF2F2F2"/>
        <bgColor rgb="FFF4F7FB"/>
      </patternFill>
    </fill>
    <fill>
      <patternFill patternType="solid">
        <fgColor rgb="FF595959"/>
        <bgColor rgb="FF64748B"/>
      </patternFill>
    </fill>
    <fill>
      <patternFill patternType="solid">
        <fgColor rgb="FF2E7D32"/>
        <bgColor rgb="FF008000"/>
      </patternFill>
    </fill>
    <fill>
      <patternFill patternType="solid">
        <fgColor rgb="FF1F4E79"/>
        <bgColor rgb="FF1D4ED8"/>
      </patternFill>
    </fill>
    <fill>
      <patternFill patternType="solid">
        <fgColor rgb="FFC55A11"/>
        <bgColor rgb="FF92400E"/>
      </patternFill>
    </fill>
    <fill>
      <patternFill patternType="solid">
        <fgColor rgb="FFEDEDED"/>
        <bgColor rgb="FFE8EEF7"/>
      </patternFill>
    </fill>
  </fills>
  <borders count="4">
    <border>
      <left/>
      <right/>
      <top/>
      <bottom/>
      <diagonal/>
    </border>
    <border>
      <left style="thin">
        <color rgb="FFD9E2EC"/>
      </left>
      <right style="thin">
        <color rgb="FFD9E2EC"/>
      </right>
      <top style="thin">
        <color rgb="FFD9E2EC"/>
      </top>
      <bottom style="thin">
        <color rgb="FFD9E2EC"/>
      </bottom>
      <diagonal/>
    </border>
    <border>
      <left/>
      <right/>
      <top/>
      <bottom style="thin">
        <color rgb="FFD9E2EC"/>
      </bottom>
      <diagonal/>
    </border>
    <border>
      <left style="medium">
        <color rgb="FFB8C6D9"/>
      </left>
      <right style="medium">
        <color rgb="FFB8C6D9"/>
      </right>
      <top style="medium">
        <color rgb="FFB8C6D9"/>
      </top>
      <bottom style="medium">
        <color rgb="FFB8C6D9"/>
      </bottom>
      <diagonal/>
    </border>
  </borders>
  <cellStyleXfs count="1">
    <xf numFmtId="0" fontId="0" fillId="0" borderId="0"/>
  </cellStyleXfs>
  <cellXfs count="103">
    <xf numFmtId="0" fontId="0" fillId="0" borderId="0" xfId="0"/>
    <xf numFmtId="0" fontId="19" fillId="6" borderId="2" xfId="0" applyFont="1" applyFill="1" applyBorder="1" applyAlignment="1">
      <alignment horizontal="center"/>
    </xf>
    <xf numFmtId="0" fontId="16" fillId="5" borderId="2" xfId="0" applyFont="1" applyFill="1" applyBorder="1" applyAlignment="1">
      <alignment vertical="center" wrapText="1"/>
    </xf>
    <xf numFmtId="0" fontId="18" fillId="8"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5" fillId="3" borderId="0" xfId="0" applyFont="1" applyFill="1" applyBorder="1" applyAlignment="1">
      <alignment vertical="center"/>
    </xf>
    <xf numFmtId="0" fontId="10" fillId="11" borderId="1" xfId="0" applyFont="1" applyFill="1" applyBorder="1" applyAlignment="1">
      <alignment horizontal="center" vertical="center" wrapText="1"/>
    </xf>
    <xf numFmtId="0" fontId="8" fillId="10" borderId="1" xfId="0" applyFont="1" applyFill="1" applyBorder="1" applyAlignment="1">
      <alignment vertical="center"/>
    </xf>
    <xf numFmtId="0" fontId="10" fillId="8" borderId="1" xfId="0" applyFont="1" applyFill="1" applyBorder="1" applyAlignment="1">
      <alignment horizontal="center" vertical="center" wrapText="1"/>
    </xf>
    <xf numFmtId="0" fontId="8" fillId="7" borderId="1" xfId="0" applyFont="1" applyFill="1" applyBorder="1" applyAlignment="1">
      <alignment vertical="center"/>
    </xf>
    <xf numFmtId="0" fontId="7" fillId="3" borderId="0" xfId="0" applyFont="1" applyFill="1" applyBorder="1" applyAlignment="1">
      <alignment vertical="center"/>
    </xf>
    <xf numFmtId="0" fontId="6" fillId="6" borderId="0" xfId="0" applyFont="1" applyFill="1" applyBorder="1" applyAlignment="1">
      <alignment vertical="center" wrapText="1"/>
    </xf>
    <xf numFmtId="0" fontId="4" fillId="4" borderId="0" xfId="0" applyFont="1" applyFill="1" applyBorder="1" applyAlignment="1">
      <alignment vertical="center" wrapText="1"/>
    </xf>
    <xf numFmtId="0" fontId="3" fillId="3" borderId="0" xfId="0" applyFont="1" applyFill="1" applyBorder="1" applyAlignment="1">
      <alignment vertical="center"/>
    </xf>
    <xf numFmtId="0" fontId="2" fillId="2" borderId="0" xfId="0" applyFont="1" applyFill="1" applyBorder="1" applyAlignment="1">
      <alignment vertical="center"/>
    </xf>
    <xf numFmtId="0" fontId="0" fillId="0" borderId="0" xfId="0" applyAlignment="1"/>
    <xf numFmtId="0" fontId="5" fillId="5" borderId="0" xfId="0" applyFont="1" applyFill="1" applyAlignment="1">
      <alignment vertical="center" wrapText="1"/>
    </xf>
    <xf numFmtId="0" fontId="8" fillId="7" borderId="1" xfId="0" applyFont="1" applyFill="1" applyBorder="1" applyAlignment="1">
      <alignment vertical="center"/>
    </xf>
    <xf numFmtId="0" fontId="9" fillId="4" borderId="2" xfId="0" applyFont="1" applyFill="1" applyBorder="1" applyAlignment="1">
      <alignment vertical="center" wrapText="1"/>
    </xf>
    <xf numFmtId="0" fontId="5" fillId="5" borderId="2" xfId="0" applyFont="1" applyFill="1" applyBorder="1" applyAlignment="1">
      <alignment vertical="center" wrapText="1"/>
    </xf>
    <xf numFmtId="3" fontId="11" fillId="9" borderId="3" xfId="0" applyNumberFormat="1" applyFont="1" applyFill="1" applyBorder="1" applyAlignment="1">
      <alignment horizontal="center" vertical="center" wrapText="1"/>
    </xf>
    <xf numFmtId="164" fontId="11" fillId="9" borderId="3" xfId="0" applyNumberFormat="1" applyFont="1" applyFill="1" applyBorder="1" applyAlignment="1">
      <alignment horizontal="center" vertical="center" wrapText="1"/>
    </xf>
    <xf numFmtId="1" fontId="11" fillId="9" borderId="3" xfId="0" applyNumberFormat="1" applyFont="1" applyFill="1" applyBorder="1" applyAlignment="1">
      <alignment horizontal="center" vertical="center" wrapText="1"/>
    </xf>
    <xf numFmtId="0" fontId="8" fillId="10" borderId="1" xfId="0" applyFont="1" applyFill="1" applyBorder="1" applyAlignment="1">
      <alignment vertical="center"/>
    </xf>
    <xf numFmtId="0" fontId="11" fillId="9" borderId="3" xfId="0" applyFont="1" applyFill="1" applyBorder="1" applyAlignment="1">
      <alignment horizontal="center" vertical="center" wrapText="1"/>
    </xf>
    <xf numFmtId="0" fontId="12" fillId="5" borderId="2" xfId="0" applyFont="1" applyFill="1" applyBorder="1" applyAlignment="1">
      <alignment vertical="center" wrapText="1"/>
    </xf>
    <xf numFmtId="0" fontId="5" fillId="5" borderId="2" xfId="0" applyFont="1" applyFill="1" applyBorder="1" applyAlignment="1">
      <alignment vertical="top" wrapText="1"/>
    </xf>
    <xf numFmtId="0" fontId="12" fillId="13" borderId="0" xfId="0" applyFont="1" applyFill="1" applyAlignment="1">
      <alignment vertical="center" wrapText="1"/>
    </xf>
    <xf numFmtId="165" fontId="13" fillId="12" borderId="0" xfId="0" applyNumberFormat="1" applyFont="1" applyFill="1" applyAlignment="1">
      <alignment vertical="center" wrapText="1"/>
    </xf>
    <xf numFmtId="166" fontId="14" fillId="5" borderId="0" xfId="0" applyNumberFormat="1" applyFont="1" applyFill="1" applyAlignment="1">
      <alignment vertical="center" wrapText="1"/>
    </xf>
    <xf numFmtId="0" fontId="16" fillId="5" borderId="1" xfId="0" applyFont="1" applyFill="1" applyBorder="1" applyAlignment="1">
      <alignment vertical="center" wrapText="1"/>
    </xf>
    <xf numFmtId="0" fontId="17" fillId="6" borderId="1" xfId="0" applyFont="1" applyFill="1" applyBorder="1" applyAlignment="1">
      <alignment horizontal="center"/>
    </xf>
    <xf numFmtId="0" fontId="5" fillId="13" borderId="2" xfId="0" applyFont="1" applyFill="1" applyBorder="1" applyAlignment="1">
      <alignment vertical="center" wrapText="1"/>
    </xf>
    <xf numFmtId="0" fontId="11" fillId="13" borderId="3" xfId="0" applyFont="1" applyFill="1" applyBorder="1" applyAlignment="1">
      <alignment horizontal="center" vertical="center" wrapText="1"/>
    </xf>
    <xf numFmtId="0" fontId="18" fillId="14" borderId="1" xfId="0" applyFont="1" applyFill="1" applyBorder="1" applyAlignment="1">
      <alignment horizontal="center" vertical="center" wrapText="1"/>
    </xf>
    <xf numFmtId="0" fontId="19" fillId="5" borderId="2" xfId="0" applyFont="1" applyFill="1" applyBorder="1" applyAlignment="1">
      <alignment vertical="center" wrapText="1"/>
    </xf>
    <xf numFmtId="3" fontId="20" fillId="14" borderId="1" xfId="0" applyNumberFormat="1" applyFont="1" applyFill="1" applyBorder="1" applyAlignment="1">
      <alignment horizontal="center" vertical="center" wrapText="1"/>
    </xf>
    <xf numFmtId="167" fontId="20" fillId="14" borderId="1" xfId="0" applyNumberFormat="1" applyFont="1" applyFill="1" applyBorder="1" applyAlignment="1">
      <alignment horizontal="center" vertical="center" wrapText="1"/>
    </xf>
    <xf numFmtId="0" fontId="20" fillId="14" borderId="1" xfId="0" applyFont="1" applyFill="1" applyBorder="1" applyAlignment="1">
      <alignment horizontal="center" vertical="center" wrapText="1"/>
    </xf>
    <xf numFmtId="165" fontId="20" fillId="14" borderId="1" xfId="0" applyNumberFormat="1" applyFont="1" applyFill="1" applyBorder="1" applyAlignment="1">
      <alignment horizontal="center" vertical="center" wrapText="1"/>
    </xf>
    <xf numFmtId="9" fontId="20" fillId="14" borderId="1" xfId="0" applyNumberFormat="1" applyFont="1" applyFill="1" applyBorder="1" applyAlignment="1">
      <alignment horizontal="center" vertical="center" wrapText="1"/>
    </xf>
    <xf numFmtId="0" fontId="5" fillId="15" borderId="2" xfId="0" applyFont="1" applyFill="1" applyBorder="1" applyAlignment="1">
      <alignment vertical="center" wrapText="1"/>
    </xf>
    <xf numFmtId="2" fontId="18" fillId="14" borderId="1" xfId="0" applyNumberFormat="1" applyFont="1" applyFill="1" applyBorder="1" applyAlignment="1">
      <alignment horizontal="center" vertical="center" wrapText="1"/>
    </xf>
    <xf numFmtId="0" fontId="25" fillId="3" borderId="2" xfId="0" applyFont="1" applyFill="1" applyBorder="1" applyAlignment="1">
      <alignment vertical="center" wrapText="1"/>
    </xf>
    <xf numFmtId="0" fontId="5" fillId="0" borderId="2" xfId="0" applyFont="1" applyBorder="1" applyAlignment="1">
      <alignment vertical="center" wrapText="1"/>
    </xf>
    <xf numFmtId="0" fontId="5" fillId="12" borderId="2" xfId="0" applyFont="1" applyFill="1" applyBorder="1" applyAlignment="1">
      <alignment vertical="center" wrapText="1"/>
    </xf>
    <xf numFmtId="0" fontId="5" fillId="18" borderId="2" xfId="0" applyFont="1" applyFill="1" applyBorder="1" applyAlignment="1">
      <alignment vertical="center" wrapText="1"/>
    </xf>
    <xf numFmtId="0" fontId="11" fillId="9" borderId="2" xfId="0" applyFont="1" applyFill="1" applyBorder="1" applyAlignment="1">
      <alignment vertical="center" wrapText="1"/>
    </xf>
    <xf numFmtId="0" fontId="5" fillId="19" borderId="2" xfId="0" applyFont="1" applyFill="1" applyBorder="1" applyAlignment="1">
      <alignment vertical="center" wrapText="1"/>
    </xf>
    <xf numFmtId="1" fontId="11" fillId="9" borderId="2" xfId="0" applyNumberFormat="1" applyFont="1" applyFill="1" applyBorder="1" applyAlignment="1">
      <alignment vertical="center" wrapText="1"/>
    </xf>
    <xf numFmtId="164" fontId="11" fillId="9" borderId="2" xfId="0" applyNumberFormat="1" applyFont="1" applyFill="1" applyBorder="1" applyAlignment="1">
      <alignment vertical="center" wrapText="1"/>
    </xf>
    <xf numFmtId="0" fontId="12" fillId="0" borderId="2" xfId="0" applyFont="1" applyBorder="1" applyAlignment="1">
      <alignment vertical="center" wrapText="1"/>
    </xf>
    <xf numFmtId="168" fontId="11" fillId="9" borderId="2" xfId="0" applyNumberFormat="1" applyFont="1" applyFill="1" applyBorder="1" applyAlignment="1">
      <alignment vertical="center" wrapText="1"/>
    </xf>
    <xf numFmtId="165" fontId="11" fillId="9" borderId="2" xfId="0" applyNumberFormat="1" applyFont="1" applyFill="1" applyBorder="1" applyAlignment="1">
      <alignment vertical="center" wrapText="1"/>
    </xf>
    <xf numFmtId="2" fontId="11" fillId="9" borderId="2" xfId="0" applyNumberFormat="1" applyFont="1" applyFill="1" applyBorder="1" applyAlignment="1">
      <alignment vertical="center" wrapText="1"/>
    </xf>
    <xf numFmtId="1" fontId="13" fillId="12" borderId="2" xfId="0" applyNumberFormat="1" applyFont="1" applyFill="1" applyBorder="1" applyAlignment="1">
      <alignment vertical="center" wrapText="1"/>
    </xf>
    <xf numFmtId="0" fontId="5" fillId="19" borderId="2" xfId="0" applyFont="1" applyFill="1" applyBorder="1" applyAlignment="1">
      <alignment vertical="top" wrapText="1"/>
    </xf>
    <xf numFmtId="0" fontId="26" fillId="17" borderId="2" xfId="0" applyFont="1" applyFill="1" applyBorder="1" applyAlignment="1">
      <alignment vertical="center" wrapText="1"/>
    </xf>
    <xf numFmtId="165" fontId="5" fillId="18" borderId="2" xfId="0" applyNumberFormat="1" applyFont="1" applyFill="1" applyBorder="1" applyAlignment="1">
      <alignment vertical="center" wrapText="1"/>
    </xf>
    <xf numFmtId="165" fontId="18" fillId="14" borderId="2" xfId="0" applyNumberFormat="1" applyFont="1" applyFill="1" applyBorder="1" applyAlignment="1">
      <alignment vertical="center" wrapText="1"/>
    </xf>
    <xf numFmtId="0" fontId="18" fillId="14" borderId="2" xfId="0" applyFont="1" applyFill="1" applyBorder="1" applyAlignment="1">
      <alignment vertical="center" wrapText="1"/>
    </xf>
    <xf numFmtId="0" fontId="12" fillId="0" borderId="0" xfId="0" applyFont="1" applyAlignment="1"/>
    <xf numFmtId="0" fontId="13" fillId="12" borderId="0" xfId="0" applyFont="1" applyFill="1" applyAlignment="1"/>
    <xf numFmtId="0" fontId="0" fillId="0" borderId="0" xfId="0" applyFont="1" applyAlignment="1">
      <alignment vertical="top" wrapText="1"/>
    </xf>
    <xf numFmtId="0" fontId="0" fillId="0" borderId="2" xfId="0" applyBorder="1" applyAlignment="1"/>
    <xf numFmtId="2" fontId="5" fillId="0" borderId="2" xfId="0" applyNumberFormat="1" applyFont="1" applyBorder="1" applyAlignment="1">
      <alignment vertical="center" wrapText="1"/>
    </xf>
    <xf numFmtId="1" fontId="5" fillId="0" borderId="2" xfId="0" applyNumberFormat="1" applyFont="1" applyBorder="1" applyAlignment="1">
      <alignment vertical="center" wrapText="1"/>
    </xf>
    <xf numFmtId="0" fontId="27" fillId="0" borderId="2" xfId="0" applyFont="1" applyBorder="1" applyAlignment="1">
      <alignment vertical="center" wrapText="1"/>
    </xf>
    <xf numFmtId="0" fontId="5" fillId="0" borderId="2" xfId="0" applyFont="1" applyBorder="1" applyAlignment="1">
      <alignment vertical="top" wrapText="1"/>
    </xf>
    <xf numFmtId="0" fontId="27" fillId="0" borderId="0" xfId="0" applyFont="1" applyAlignment="1"/>
    <xf numFmtId="0" fontId="5" fillId="18" borderId="2" xfId="0" applyFont="1" applyFill="1" applyBorder="1" applyAlignment="1">
      <alignment vertical="top" wrapText="1"/>
    </xf>
    <xf numFmtId="1" fontId="5" fillId="0" borderId="2" xfId="0" applyNumberFormat="1" applyFont="1" applyBorder="1" applyAlignment="1">
      <alignment vertical="top" wrapText="1"/>
    </xf>
    <xf numFmtId="164" fontId="5" fillId="0" borderId="2" xfId="0" applyNumberFormat="1" applyFont="1" applyBorder="1" applyAlignment="1">
      <alignment vertical="top" wrapText="1"/>
    </xf>
    <xf numFmtId="164" fontId="5" fillId="0" borderId="2" xfId="0" applyNumberFormat="1" applyFont="1" applyBorder="1" applyAlignment="1">
      <alignment vertical="center" wrapText="1"/>
    </xf>
    <xf numFmtId="167" fontId="5" fillId="0" borderId="2" xfId="0" applyNumberFormat="1" applyFont="1" applyBorder="1" applyAlignment="1">
      <alignment vertical="top" wrapText="1"/>
    </xf>
    <xf numFmtId="167" fontId="5" fillId="0" borderId="2" xfId="0" applyNumberFormat="1" applyFont="1" applyBorder="1" applyAlignment="1">
      <alignment vertical="center" wrapText="1"/>
    </xf>
    <xf numFmtId="165" fontId="5" fillId="0" borderId="2" xfId="0" applyNumberFormat="1" applyFont="1" applyBorder="1" applyAlignment="1">
      <alignment vertical="top" wrapText="1"/>
    </xf>
    <xf numFmtId="165" fontId="5" fillId="0" borderId="2" xfId="0" applyNumberFormat="1" applyFont="1" applyBorder="1" applyAlignment="1">
      <alignment vertical="center" wrapText="1"/>
    </xf>
    <xf numFmtId="2" fontId="5" fillId="0" borderId="2" xfId="0" applyNumberFormat="1" applyFont="1" applyBorder="1" applyAlignment="1">
      <alignment vertical="top" wrapText="1"/>
    </xf>
    <xf numFmtId="0" fontId="5" fillId="24" borderId="2" xfId="0" applyFont="1" applyFill="1" applyBorder="1" applyAlignment="1">
      <alignment vertical="center" wrapText="1"/>
    </xf>
    <xf numFmtId="167" fontId="5" fillId="24" borderId="2" xfId="0" applyNumberFormat="1" applyFont="1" applyFill="1" applyBorder="1" applyAlignment="1">
      <alignment vertical="center" wrapText="1"/>
    </xf>
    <xf numFmtId="2" fontId="5" fillId="24" borderId="2" xfId="0" applyNumberFormat="1" applyFont="1" applyFill="1" applyBorder="1" applyAlignment="1">
      <alignment vertical="center" wrapText="1"/>
    </xf>
    <xf numFmtId="1" fontId="5" fillId="24" borderId="2" xfId="0" applyNumberFormat="1" applyFont="1" applyFill="1" applyBorder="1" applyAlignment="1">
      <alignment vertical="center" wrapText="1"/>
    </xf>
    <xf numFmtId="165" fontId="5" fillId="24" borderId="2" xfId="0" applyNumberFormat="1" applyFont="1" applyFill="1" applyBorder="1" applyAlignment="1">
      <alignment vertical="center" wrapText="1"/>
    </xf>
    <xf numFmtId="164" fontId="5" fillId="24" borderId="2" xfId="0" applyNumberFormat="1" applyFont="1" applyFill="1" applyBorder="1" applyAlignment="1">
      <alignment vertical="center" wrapText="1"/>
    </xf>
    <xf numFmtId="168" fontId="5" fillId="0" borderId="2" xfId="0" applyNumberFormat="1" applyFont="1" applyBorder="1" applyAlignment="1">
      <alignment vertical="top" wrapText="1"/>
    </xf>
    <xf numFmtId="168" fontId="5" fillId="24" borderId="2" xfId="0" applyNumberFormat="1" applyFont="1" applyFill="1" applyBorder="1" applyAlignment="1">
      <alignment vertical="center" wrapText="1"/>
    </xf>
    <xf numFmtId="0" fontId="7" fillId="7" borderId="0" xfId="0" applyFont="1" applyFill="1" applyBorder="1" applyAlignment="1">
      <alignment vertical="center"/>
    </xf>
    <xf numFmtId="0" fontId="21" fillId="5" borderId="2" xfId="0" applyFont="1" applyFill="1" applyBorder="1" applyAlignment="1">
      <alignment vertical="center" wrapText="1"/>
    </xf>
    <xf numFmtId="0" fontId="19" fillId="5" borderId="2" xfId="0" applyFont="1" applyFill="1" applyBorder="1" applyAlignment="1">
      <alignment horizontal="center"/>
    </xf>
    <xf numFmtId="0" fontId="22" fillId="6" borderId="0" xfId="0" applyFont="1" applyFill="1" applyBorder="1" applyAlignment="1">
      <alignment vertical="center" wrapText="1"/>
    </xf>
    <xf numFmtId="0" fontId="23" fillId="16" borderId="0" xfId="0" applyFont="1" applyFill="1" applyBorder="1" applyAlignment="1">
      <alignment vertical="center" wrapText="1"/>
    </xf>
    <xf numFmtId="0" fontId="5" fillId="5" borderId="0" xfId="0" applyFont="1" applyFill="1" applyBorder="1" applyAlignment="1">
      <alignment vertical="center" wrapText="1"/>
    </xf>
    <xf numFmtId="0" fontId="24" fillId="2" borderId="2" xfId="0" applyFont="1" applyFill="1" applyBorder="1" applyAlignment="1">
      <alignment vertical="center" wrapText="1"/>
    </xf>
    <xf numFmtId="0" fontId="25" fillId="3" borderId="2" xfId="0" applyFont="1" applyFill="1" applyBorder="1" applyAlignment="1">
      <alignment vertical="center" wrapText="1"/>
    </xf>
    <xf numFmtId="0" fontId="5" fillId="17" borderId="2" xfId="0" applyFont="1" applyFill="1" applyBorder="1" applyAlignment="1">
      <alignment vertical="center" wrapText="1"/>
    </xf>
    <xf numFmtId="0" fontId="5" fillId="20" borderId="2" xfId="0" applyFont="1" applyFill="1" applyBorder="1" applyAlignment="1">
      <alignment vertical="center" wrapText="1"/>
    </xf>
    <xf numFmtId="0" fontId="26" fillId="17" borderId="2" xfId="0" applyFont="1" applyFill="1" applyBorder="1" applyAlignment="1">
      <alignment vertical="center" wrapText="1"/>
    </xf>
    <xf numFmtId="0" fontId="5" fillId="21" borderId="2" xfId="0" applyFont="1" applyFill="1" applyBorder="1" applyAlignment="1">
      <alignment vertical="center" wrapText="1"/>
    </xf>
    <xf numFmtId="0" fontId="5" fillId="0" borderId="2" xfId="0" applyFont="1" applyBorder="1" applyAlignment="1">
      <alignment vertical="center" wrapText="1"/>
    </xf>
    <xf numFmtId="0" fontId="5" fillId="22" borderId="2" xfId="0" applyFont="1" applyFill="1" applyBorder="1" applyAlignment="1">
      <alignment vertical="center" wrapText="1"/>
    </xf>
    <xf numFmtId="0" fontId="5" fillId="23" borderId="2" xfId="0" applyFont="1" applyFill="1" applyBorder="1" applyAlignment="1">
      <alignment vertical="top" wrapText="1"/>
    </xf>
    <xf numFmtId="0" fontId="5" fillId="0" borderId="2"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2E7D32"/>
      <rgbColor rgb="FFB8C6D9"/>
      <rgbColor rgb="FF595959"/>
      <rgbColor rgb="FFD9EAF7"/>
      <rgbColor rgb="FF7C3AED"/>
      <rgbColor rgb="FFFFF4C2"/>
      <rgbColor rgb="FFDCFCE7"/>
      <rgbColor rgb="FF660066"/>
      <rgbColor rgb="FFFF8080"/>
      <rgbColor rgb="FF1D4ED8"/>
      <rgbColor rgb="FFD9E1F2"/>
      <rgbColor rgb="FF000080"/>
      <rgbColor rgb="FFFF00FF"/>
      <rgbColor rgb="FFF4F7FB"/>
      <rgbColor rgb="FF00FFFF"/>
      <rgbColor rgb="FF800080"/>
      <rgbColor rgb="FF800000"/>
      <rgbColor rgb="FF1F4E79"/>
      <rgbColor rgb="FF0000FF"/>
      <rgbColor rgb="FF00CCFF"/>
      <rgbColor rgb="FFDFF7E7"/>
      <rgbColor rgb="FFE2F0D9"/>
      <rgbColor rgb="FFFEF3C7"/>
      <rgbColor rgb="FFD9E2EC"/>
      <rgbColor rgb="FFEDEDED"/>
      <rgbColor rgb="FFD9E7FF"/>
      <rgbColor rgb="FFFFF2CC"/>
      <rgbColor rgb="FF3B82F6"/>
      <rgbColor rgb="FF33CCCC"/>
      <rgbColor rgb="FF99CC00"/>
      <rgbColor rgb="FFE8EEF7"/>
      <rgbColor rgb="FFFF9900"/>
      <rgbColor rgb="FFC55A11"/>
      <rgbColor rgb="FF64748B"/>
      <rgbColor rgb="FFEAF2FF"/>
      <rgbColor rgb="FF172033"/>
      <rgbColor rgb="FF16A34A"/>
      <rgbColor rgb="FF003300"/>
      <rgbColor rgb="FF333300"/>
      <rgbColor rgb="FF92400E"/>
      <rgbColor rgb="FF993366"/>
      <rgbColor rgb="FF5B2C83"/>
      <rgbColor rgb="FF202C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6A34A"/>
    <pageSetUpPr fitToPage="1"/>
  </sheetPr>
  <dimension ref="A1:J53"/>
  <sheetViews>
    <sheetView showGridLines="0" tabSelected="1" zoomScaleNormal="100" workbookViewId="0">
      <pane ySplit="5" topLeftCell="A6" activePane="bottomLeft" state="frozen"/>
      <selection pane="bottomLeft" activeCell="B18" sqref="B18"/>
    </sheetView>
  </sheetViews>
  <sheetFormatPr defaultColWidth="8.7109375" defaultRowHeight="15" customHeight="1" x14ac:dyDescent="0.25"/>
  <cols>
    <col min="1" max="1" width="30" style="15" customWidth="1"/>
    <col min="2" max="2" width="19" style="15" customWidth="1"/>
    <col min="3" max="3" width="17" style="15" customWidth="1"/>
    <col min="4" max="4" width="54" style="15" customWidth="1"/>
    <col min="5" max="5" width="3" style="15" customWidth="1"/>
    <col min="6" max="6" width="22" style="15" customWidth="1"/>
    <col min="7" max="7" width="18" style="15" customWidth="1"/>
    <col min="8" max="8" width="22" style="15" customWidth="1"/>
    <col min="9" max="9" width="18" style="15" customWidth="1"/>
    <col min="10" max="10" width="22" style="15" customWidth="1"/>
  </cols>
  <sheetData>
    <row r="1" spans="1:10" ht="42" customHeight="1" x14ac:dyDescent="0.25">
      <c r="A1" s="14" t="s">
        <v>0</v>
      </c>
      <c r="B1" s="14"/>
      <c r="C1" s="14"/>
      <c r="D1" s="14"/>
      <c r="E1" s="14"/>
      <c r="F1" s="14"/>
      <c r="G1" s="14"/>
      <c r="H1" s="14"/>
      <c r="I1" s="14"/>
      <c r="J1" s="14"/>
    </row>
    <row r="2" spans="1:10" ht="27.75" customHeight="1" x14ac:dyDescent="0.25">
      <c r="A2" s="13" t="s">
        <v>1</v>
      </c>
      <c r="B2" s="13"/>
      <c r="C2" s="13"/>
      <c r="D2" s="13"/>
      <c r="E2" s="13"/>
      <c r="F2" s="13"/>
      <c r="G2" s="13"/>
      <c r="H2" s="13"/>
      <c r="I2" s="13"/>
      <c r="J2" s="13"/>
    </row>
    <row r="3" spans="1:10" ht="22.5" customHeight="1" x14ac:dyDescent="0.25">
      <c r="A3" s="12" t="s">
        <v>2</v>
      </c>
      <c r="B3" s="12"/>
      <c r="C3" s="12"/>
      <c r="D3" s="12"/>
      <c r="E3" s="16"/>
      <c r="F3" s="12" t="s">
        <v>3</v>
      </c>
      <c r="G3" s="12"/>
      <c r="H3" s="12"/>
      <c r="I3" s="12"/>
      <c r="J3" s="12"/>
    </row>
    <row r="4" spans="1:10" ht="22.5" customHeight="1" x14ac:dyDescent="0.25">
      <c r="A4" s="11" t="s">
        <v>4</v>
      </c>
      <c r="B4" s="11"/>
      <c r="C4" s="11"/>
      <c r="D4" s="11"/>
      <c r="E4" s="11"/>
      <c r="F4" s="11"/>
      <c r="G4" s="11"/>
      <c r="H4" s="11"/>
      <c r="I4" s="11"/>
      <c r="J4" s="11"/>
    </row>
    <row r="5" spans="1:10" ht="30" customHeight="1" x14ac:dyDescent="0.25">
      <c r="A5" s="10" t="s">
        <v>5</v>
      </c>
      <c r="B5" s="10"/>
      <c r="C5" s="10"/>
      <c r="D5" s="10"/>
      <c r="E5" s="16"/>
      <c r="F5" s="9" t="s">
        <v>6</v>
      </c>
      <c r="G5" s="9"/>
      <c r="H5" s="9" t="s">
        <v>7</v>
      </c>
      <c r="I5" s="9"/>
      <c r="J5" s="17" t="s">
        <v>8</v>
      </c>
    </row>
    <row r="6" spans="1:10" ht="27" customHeight="1" x14ac:dyDescent="0.25">
      <c r="A6" s="18" t="s">
        <v>9</v>
      </c>
      <c r="B6" s="18" t="s">
        <v>10</v>
      </c>
      <c r="C6" s="18" t="s">
        <v>11</v>
      </c>
      <c r="D6" s="18" t="s">
        <v>12</v>
      </c>
      <c r="E6" s="16"/>
      <c r="F6" s="8">
        <f>B32</f>
        <v>64</v>
      </c>
      <c r="G6" s="8"/>
      <c r="H6" s="8">
        <f>B35</f>
        <v>380</v>
      </c>
      <c r="I6" s="8"/>
      <c r="J6" s="8">
        <f>B33</f>
        <v>64</v>
      </c>
    </row>
    <row r="7" spans="1:10" ht="22.5" customHeight="1" x14ac:dyDescent="0.25">
      <c r="A7" s="19" t="s">
        <v>13</v>
      </c>
      <c r="B7" s="20">
        <v>10</v>
      </c>
      <c r="C7" s="19" t="s">
        <v>14</v>
      </c>
      <c r="D7" s="19" t="s">
        <v>15</v>
      </c>
      <c r="E7" s="16"/>
      <c r="F7" s="8"/>
      <c r="G7" s="8"/>
      <c r="H7" s="8"/>
      <c r="I7" s="8"/>
      <c r="J7" s="8"/>
    </row>
    <row r="8" spans="1:10" ht="22.5" customHeight="1" x14ac:dyDescent="0.25">
      <c r="A8" s="19" t="s">
        <v>16</v>
      </c>
      <c r="B8" s="21">
        <v>63.749337847222201</v>
      </c>
      <c r="C8" s="19" t="s">
        <v>17</v>
      </c>
      <c r="D8" s="19" t="s">
        <v>18</v>
      </c>
      <c r="E8" s="16"/>
      <c r="F8" s="16"/>
      <c r="G8" s="16"/>
      <c r="H8" s="16"/>
      <c r="I8" s="16"/>
      <c r="J8" s="16"/>
    </row>
    <row r="9" spans="1:10" ht="22.5" customHeight="1" x14ac:dyDescent="0.25">
      <c r="A9" s="19" t="s">
        <v>19</v>
      </c>
      <c r="B9" s="22">
        <v>8</v>
      </c>
      <c r="C9" s="19" t="s">
        <v>20</v>
      </c>
      <c r="D9" s="19" t="s">
        <v>21</v>
      </c>
      <c r="E9" s="16"/>
      <c r="F9" s="7" t="s">
        <v>22</v>
      </c>
      <c r="G9" s="7"/>
      <c r="H9" s="7" t="s">
        <v>23</v>
      </c>
      <c r="I9" s="7"/>
      <c r="J9" s="23" t="s">
        <v>24</v>
      </c>
    </row>
    <row r="10" spans="1:10" ht="22.5" customHeight="1" x14ac:dyDescent="0.25">
      <c r="A10" s="19" t="s">
        <v>25</v>
      </c>
      <c r="B10" s="22">
        <v>8</v>
      </c>
      <c r="C10" s="19" t="s">
        <v>20</v>
      </c>
      <c r="D10" s="19" t="s">
        <v>26</v>
      </c>
      <c r="E10" s="16"/>
      <c r="F10" s="6">
        <f>B37</f>
        <v>6.9999999999999994E-5</v>
      </c>
      <c r="G10" s="6"/>
      <c r="H10" s="6">
        <f>B34</f>
        <v>0.12</v>
      </c>
      <c r="I10" s="6"/>
      <c r="J10" s="6">
        <f>B39</f>
        <v>0.5</v>
      </c>
    </row>
    <row r="11" spans="1:10" ht="22.5" customHeight="1" thickBot="1" x14ac:dyDescent="0.3">
      <c r="A11" s="19" t="s">
        <v>27</v>
      </c>
      <c r="B11" s="24" t="s">
        <v>28</v>
      </c>
      <c r="C11" s="19" t="s">
        <v>29</v>
      </c>
      <c r="D11" s="19" t="s">
        <v>30</v>
      </c>
      <c r="E11" s="16"/>
      <c r="F11" s="6"/>
      <c r="G11" s="6"/>
      <c r="H11" s="6"/>
      <c r="I11" s="6"/>
      <c r="J11" s="6"/>
    </row>
    <row r="12" spans="1:10" ht="32.25" customHeight="1" thickBot="1" x14ac:dyDescent="0.3">
      <c r="A12" s="25" t="s">
        <v>31</v>
      </c>
      <c r="B12" s="24">
        <v>28</v>
      </c>
      <c r="C12" s="19" t="s">
        <v>32</v>
      </c>
      <c r="D12" s="26" t="s">
        <v>33</v>
      </c>
      <c r="E12" s="16"/>
      <c r="F12" s="27" t="s">
        <v>34</v>
      </c>
      <c r="G12" s="28">
        <v>1.28833295553232</v>
      </c>
      <c r="H12" s="27" t="s">
        <v>35</v>
      </c>
      <c r="I12" s="29">
        <f>Engine!B10</f>
        <v>1.3</v>
      </c>
      <c r="J12" s="16"/>
    </row>
    <row r="13" spans="1:10" ht="30" customHeight="1" x14ac:dyDescent="0.25">
      <c r="A13" s="10" t="s">
        <v>36</v>
      </c>
      <c r="B13" s="10"/>
      <c r="C13" s="10"/>
      <c r="D13" s="10"/>
      <c r="E13" s="16"/>
      <c r="F13" s="5" t="s">
        <v>37</v>
      </c>
      <c r="G13" s="5"/>
      <c r="H13" s="5"/>
      <c r="I13" s="5"/>
      <c r="J13" s="5"/>
    </row>
    <row r="14" spans="1:10" ht="27" customHeight="1" x14ac:dyDescent="0.25">
      <c r="A14" s="18" t="s">
        <v>9</v>
      </c>
      <c r="B14" s="18" t="s">
        <v>10</v>
      </c>
      <c r="C14" s="18" t="s">
        <v>11</v>
      </c>
      <c r="D14" s="18" t="s">
        <v>12</v>
      </c>
      <c r="E14" s="16"/>
      <c r="F14" s="30" t="s">
        <v>38</v>
      </c>
      <c r="G14" s="16"/>
      <c r="H14" s="30" t="s">
        <v>39</v>
      </c>
      <c r="I14" s="16"/>
      <c r="J14" s="30" t="s">
        <v>40</v>
      </c>
    </row>
    <row r="15" spans="1:10" ht="22.5" customHeight="1" x14ac:dyDescent="0.25">
      <c r="A15" s="19" t="s">
        <v>41</v>
      </c>
      <c r="B15" s="24" t="s">
        <v>42</v>
      </c>
      <c r="C15" s="19" t="s">
        <v>43</v>
      </c>
      <c r="D15" s="19" t="s">
        <v>44</v>
      </c>
      <c r="E15" s="16"/>
      <c r="F15" s="31">
        <f>B7</f>
        <v>10</v>
      </c>
      <c r="G15" s="16"/>
      <c r="H15" s="31">
        <f>B8</f>
        <v>63.749337847222201</v>
      </c>
      <c r="I15" s="16"/>
      <c r="J15" s="31">
        <f>B9</f>
        <v>8</v>
      </c>
    </row>
    <row r="16" spans="1:10" ht="22.5" customHeight="1" x14ac:dyDescent="0.25">
      <c r="A16" s="19" t="s">
        <v>45</v>
      </c>
      <c r="B16" s="20">
        <v>1</v>
      </c>
      <c r="C16" s="19" t="s">
        <v>46</v>
      </c>
      <c r="D16" s="19" t="s">
        <v>47</v>
      </c>
      <c r="E16" s="16"/>
      <c r="F16" s="30" t="s">
        <v>48</v>
      </c>
      <c r="G16" s="16"/>
      <c r="H16" s="30" t="s">
        <v>49</v>
      </c>
      <c r="I16" s="16"/>
      <c r="J16" s="30" t="s">
        <v>41</v>
      </c>
    </row>
    <row r="17" spans="1:10" ht="22.5" customHeight="1" thickBot="1" x14ac:dyDescent="0.3">
      <c r="A17" s="19" t="s">
        <v>50</v>
      </c>
      <c r="B17" s="24" t="s">
        <v>51</v>
      </c>
      <c r="C17" s="19" t="s">
        <v>52</v>
      </c>
      <c r="D17" s="19" t="s">
        <v>53</v>
      </c>
      <c r="E17" s="16"/>
      <c r="F17" s="31">
        <f>B10</f>
        <v>8</v>
      </c>
      <c r="G17" s="16"/>
      <c r="H17" s="31" t="str">
        <f>B11</f>
        <v>No</v>
      </c>
      <c r="I17" s="16"/>
      <c r="J17" s="31" t="str">
        <f>B15</f>
        <v>AdamW</v>
      </c>
    </row>
    <row r="18" spans="1:10" ht="22.5" customHeight="1" thickBot="1" x14ac:dyDescent="0.3">
      <c r="A18" s="25" t="s">
        <v>54</v>
      </c>
      <c r="B18" s="24" t="s">
        <v>55</v>
      </c>
      <c r="C18" s="19" t="s">
        <v>56</v>
      </c>
      <c r="D18" s="19" t="s">
        <v>57</v>
      </c>
      <c r="E18" s="16"/>
      <c r="F18" s="16"/>
      <c r="G18" s="16"/>
      <c r="H18" s="16"/>
      <c r="I18" s="16"/>
      <c r="J18" s="16"/>
    </row>
    <row r="19" spans="1:10" ht="30" customHeight="1" x14ac:dyDescent="0.25">
      <c r="A19" s="10" t="s">
        <v>58</v>
      </c>
      <c r="B19" s="10"/>
      <c r="C19" s="10"/>
      <c r="D19" s="10"/>
      <c r="E19" s="16"/>
      <c r="F19" s="5" t="s">
        <v>59</v>
      </c>
      <c r="G19" s="5"/>
      <c r="H19" s="5"/>
      <c r="I19" s="5"/>
      <c r="J19" s="5"/>
    </row>
    <row r="20" spans="1:10" ht="27" customHeight="1" x14ac:dyDescent="0.25">
      <c r="A20" s="18" t="s">
        <v>9</v>
      </c>
      <c r="B20" s="18" t="s">
        <v>10</v>
      </c>
      <c r="C20" s="18" t="s">
        <v>11</v>
      </c>
      <c r="D20" s="18" t="s">
        <v>12</v>
      </c>
      <c r="E20" s="16"/>
      <c r="F20" s="4" t="str">
        <f>IF(AND(B21="Good",OR(B22="Good",B22="NA"),B23=0),"FIRST RUN  •  no feedback applied","FEEDBACK  •  "&amp;IF(B23&gt;0,"peak step "&amp;B23&amp;"  •  ","")&amp;"Instruments: "&amp;B21&amp;"  •  Vocals: "&amp;B22)</f>
        <v>FIRST RUN  •  no feedback applied</v>
      </c>
      <c r="G20" s="4"/>
      <c r="H20" s="4"/>
      <c r="I20" s="4"/>
      <c r="J20" s="4"/>
    </row>
    <row r="21" spans="1:10" ht="22.5" customHeight="1" x14ac:dyDescent="0.25">
      <c r="A21" s="19" t="s">
        <v>60</v>
      </c>
      <c r="B21" s="24" t="s">
        <v>61</v>
      </c>
      <c r="C21" s="19" t="s">
        <v>62</v>
      </c>
      <c r="D21" s="19" t="s">
        <v>63</v>
      </c>
      <c r="E21" s="16"/>
      <c r="F21" s="4"/>
      <c r="G21" s="4"/>
      <c r="H21" s="4"/>
      <c r="I21" s="4"/>
      <c r="J21" s="4"/>
    </row>
    <row r="22" spans="1:10" ht="22.5" customHeight="1" x14ac:dyDescent="0.25">
      <c r="A22" s="19" t="s">
        <v>64</v>
      </c>
      <c r="B22" s="24" t="s">
        <v>61</v>
      </c>
      <c r="C22" s="19" t="s">
        <v>65</v>
      </c>
      <c r="D22" s="19" t="s">
        <v>66</v>
      </c>
      <c r="E22" s="16"/>
      <c r="F22" s="3" t="str">
        <f>IF(B27="Yes","CALIBRATION ON  •  "&amp;Calibration!B7,"CALIBRATION OFF")</f>
        <v>CALIBRATION ON  •  Ryk 1.10</v>
      </c>
      <c r="G22" s="3"/>
      <c r="H22" s="3"/>
      <c r="I22" s="3"/>
      <c r="J22" s="3"/>
    </row>
    <row r="23" spans="1:10" ht="22.5" customHeight="1" x14ac:dyDescent="0.25">
      <c r="A23" s="19" t="s">
        <v>67</v>
      </c>
      <c r="B23" s="20">
        <v>0</v>
      </c>
      <c r="C23" s="19" t="s">
        <v>68</v>
      </c>
      <c r="D23" s="19" t="s">
        <v>69</v>
      </c>
      <c r="E23" s="16"/>
      <c r="F23" s="3"/>
      <c r="G23" s="3"/>
      <c r="H23" s="3"/>
      <c r="I23" s="3"/>
      <c r="J23" s="3"/>
    </row>
    <row r="24" spans="1:10" ht="22.5" customHeight="1" x14ac:dyDescent="0.25">
      <c r="A24" s="19"/>
      <c r="B24" s="19"/>
      <c r="C24" s="19"/>
      <c r="D24" s="19"/>
      <c r="E24" s="16"/>
      <c r="F24" s="16"/>
      <c r="G24" s="16"/>
      <c r="H24" s="16"/>
      <c r="I24" s="16"/>
      <c r="J24" s="16"/>
    </row>
    <row r="25" spans="1:10" ht="30" customHeight="1" x14ac:dyDescent="0.25">
      <c r="A25" s="10" t="s">
        <v>70</v>
      </c>
      <c r="B25" s="10"/>
      <c r="C25" s="10"/>
      <c r="D25" s="10"/>
      <c r="E25" s="16"/>
      <c r="F25" s="5" t="s">
        <v>71</v>
      </c>
      <c r="G25" s="5"/>
      <c r="H25" s="5"/>
      <c r="I25" s="5"/>
      <c r="J25" s="5"/>
    </row>
    <row r="26" spans="1:10" ht="27" customHeight="1" x14ac:dyDescent="0.25">
      <c r="A26" s="18" t="s">
        <v>9</v>
      </c>
      <c r="B26" s="18" t="s">
        <v>10</v>
      </c>
      <c r="C26" s="18" t="s">
        <v>11</v>
      </c>
      <c r="D26" s="18" t="s">
        <v>12</v>
      </c>
      <c r="E26" s="16"/>
      <c r="F26" s="2" t="s">
        <v>72</v>
      </c>
      <c r="G26" s="2"/>
      <c r="H26" s="2"/>
      <c r="I26" s="1">
        <f>B32</f>
        <v>64</v>
      </c>
      <c r="J26" s="1"/>
    </row>
    <row r="27" spans="1:10" ht="39.75" customHeight="1" x14ac:dyDescent="0.25">
      <c r="A27" s="25" t="s">
        <v>73</v>
      </c>
      <c r="B27" s="33" t="s">
        <v>74</v>
      </c>
      <c r="C27" s="19" t="s">
        <v>29</v>
      </c>
      <c r="D27" s="19" t="s">
        <v>75</v>
      </c>
      <c r="E27" s="16"/>
      <c r="F27" s="2" t="s">
        <v>76</v>
      </c>
      <c r="G27" s="2"/>
      <c r="H27" s="2"/>
      <c r="I27" s="1">
        <f>B33</f>
        <v>64</v>
      </c>
      <c r="J27" s="1"/>
    </row>
    <row r="28" spans="1:10" ht="22.5" customHeight="1" x14ac:dyDescent="0.25">
      <c r="A28" s="19" t="s">
        <v>77</v>
      </c>
      <c r="B28" s="34" t="str">
        <f>IF(B27="Yes",IF(Calibration!B7&lt;&gt;"","Run: "&amp;Calibration!B7,"(no run name entered)"),"Off")</f>
        <v>Run: Ryk 1.10</v>
      </c>
      <c r="C28" s="19" t="s">
        <v>78</v>
      </c>
      <c r="D28" s="19" t="s">
        <v>79</v>
      </c>
      <c r="E28" s="16"/>
      <c r="F28" s="2" t="s">
        <v>80</v>
      </c>
      <c r="G28" s="2"/>
      <c r="H28" s="2"/>
      <c r="I28" s="1">
        <f t="shared" ref="I28:I35" si="0">B35</f>
        <v>380</v>
      </c>
      <c r="J28" s="1"/>
    </row>
    <row r="29" spans="1:10" ht="22.5" customHeight="1" x14ac:dyDescent="0.25">
      <c r="A29" s="19"/>
      <c r="B29" s="19"/>
      <c r="C29" s="19"/>
      <c r="D29" s="19"/>
      <c r="E29" s="16"/>
      <c r="F29" s="2" t="s">
        <v>41</v>
      </c>
      <c r="G29" s="2"/>
      <c r="H29" s="2"/>
      <c r="I29" s="1" t="str">
        <f t="shared" si="0"/>
        <v>AdamW</v>
      </c>
      <c r="J29" s="1"/>
    </row>
    <row r="30" spans="1:10" ht="30" customHeight="1" x14ac:dyDescent="0.25">
      <c r="A30" s="87" t="s">
        <v>81</v>
      </c>
      <c r="B30" s="87"/>
      <c r="C30" s="87"/>
      <c r="D30" s="87"/>
      <c r="E30" s="16"/>
      <c r="F30" s="2" t="s">
        <v>82</v>
      </c>
      <c r="G30" s="2"/>
      <c r="H30" s="2"/>
      <c r="I30" s="1">
        <f t="shared" si="0"/>
        <v>6.9999999999999994E-5</v>
      </c>
      <c r="J30" s="1"/>
    </row>
    <row r="31" spans="1:10" ht="27" customHeight="1" x14ac:dyDescent="0.25">
      <c r="A31" s="18" t="s">
        <v>83</v>
      </c>
      <c r="B31" s="18" t="s">
        <v>84</v>
      </c>
      <c r="C31" s="18" t="s">
        <v>85</v>
      </c>
      <c r="D31" s="18" t="s">
        <v>86</v>
      </c>
      <c r="E31" s="16"/>
      <c r="F31" s="2" t="s">
        <v>87</v>
      </c>
      <c r="G31" s="2"/>
      <c r="H31" s="2"/>
      <c r="I31" s="1">
        <f t="shared" si="0"/>
        <v>0.47</v>
      </c>
      <c r="J31" s="1"/>
    </row>
    <row r="32" spans="1:10" ht="22.5" customHeight="1" x14ac:dyDescent="0.25">
      <c r="A32" s="35" t="s">
        <v>88</v>
      </c>
      <c r="B32" s="36">
        <f>Engine!B49</f>
        <v>64</v>
      </c>
      <c r="C32" s="19" t="s">
        <v>89</v>
      </c>
      <c r="D32" s="19" t="s">
        <v>90</v>
      </c>
      <c r="E32" s="16"/>
      <c r="F32" s="2" t="s">
        <v>91</v>
      </c>
      <c r="G32" s="2"/>
      <c r="H32" s="2"/>
      <c r="I32" s="1">
        <f t="shared" si="0"/>
        <v>0.5</v>
      </c>
      <c r="J32" s="1"/>
    </row>
    <row r="33" spans="1:10" ht="22.5" customHeight="1" x14ac:dyDescent="0.25">
      <c r="A33" s="35" t="s">
        <v>92</v>
      </c>
      <c r="B33" s="36">
        <f>Engine!B50</f>
        <v>64</v>
      </c>
      <c r="C33" s="19" t="s">
        <v>93</v>
      </c>
      <c r="D33" s="19" t="s">
        <v>94</v>
      </c>
      <c r="E33" s="16"/>
      <c r="F33" s="2" t="s">
        <v>95</v>
      </c>
      <c r="G33" s="2"/>
      <c r="H33" s="2"/>
      <c r="I33" s="1">
        <f t="shared" si="0"/>
        <v>140</v>
      </c>
      <c r="J33" s="1"/>
    </row>
    <row r="34" spans="1:10" ht="22.5" customHeight="1" x14ac:dyDescent="0.25">
      <c r="A34" s="35" t="s">
        <v>96</v>
      </c>
      <c r="B34" s="37">
        <f>Engine!B52</f>
        <v>0.12</v>
      </c>
      <c r="C34" s="19" t="s">
        <v>97</v>
      </c>
      <c r="D34" s="19" t="s">
        <v>98</v>
      </c>
      <c r="E34" s="16"/>
      <c r="F34" s="2" t="s">
        <v>99</v>
      </c>
      <c r="G34" s="2"/>
      <c r="H34" s="2"/>
      <c r="I34" s="1" t="str">
        <f t="shared" si="0"/>
        <v>Cosine</v>
      </c>
      <c r="J34" s="1"/>
    </row>
    <row r="35" spans="1:10" ht="22.5" customHeight="1" x14ac:dyDescent="0.25">
      <c r="A35" s="35" t="s">
        <v>100</v>
      </c>
      <c r="B35" s="36">
        <f>Engine!B43</f>
        <v>380</v>
      </c>
      <c r="C35" s="19" t="s">
        <v>101</v>
      </c>
      <c r="D35" s="19" t="s">
        <v>102</v>
      </c>
      <c r="E35" s="16"/>
      <c r="F35" s="2" t="s">
        <v>103</v>
      </c>
      <c r="G35" s="2"/>
      <c r="H35" s="2"/>
      <c r="I35" s="1">
        <f t="shared" si="0"/>
        <v>1</v>
      </c>
      <c r="J35" s="1"/>
    </row>
    <row r="36" spans="1:10" ht="22.5" customHeight="1" x14ac:dyDescent="0.25">
      <c r="A36" s="35" t="s">
        <v>41</v>
      </c>
      <c r="B36" s="38" t="str">
        <f>B15</f>
        <v>AdamW</v>
      </c>
      <c r="C36" s="19" t="s">
        <v>104</v>
      </c>
      <c r="D36" s="19" t="s">
        <v>105</v>
      </c>
      <c r="E36" s="16"/>
      <c r="F36" s="16"/>
      <c r="G36" s="16"/>
      <c r="H36" s="16"/>
      <c r="I36" s="16"/>
      <c r="J36" s="16"/>
    </row>
    <row r="37" spans="1:10" ht="22.5" customHeight="1" x14ac:dyDescent="0.25">
      <c r="A37" s="35" t="s">
        <v>82</v>
      </c>
      <c r="B37" s="39">
        <f>Engine!B47</f>
        <v>6.9999999999999994E-5</v>
      </c>
      <c r="C37" s="19" t="s">
        <v>106</v>
      </c>
      <c r="D37" s="19" t="s">
        <v>107</v>
      </c>
      <c r="E37" s="16"/>
      <c r="F37" s="5" t="s">
        <v>108</v>
      </c>
      <c r="G37" s="5"/>
      <c r="H37" s="5"/>
      <c r="I37" s="5"/>
      <c r="J37" s="5"/>
    </row>
    <row r="38" spans="1:10" ht="22.5" customHeight="1" x14ac:dyDescent="0.25">
      <c r="A38" s="35" t="s">
        <v>109</v>
      </c>
      <c r="B38" s="37">
        <f>Engine!B51</f>
        <v>0.47</v>
      </c>
      <c r="C38" s="19" t="s">
        <v>110</v>
      </c>
      <c r="D38" s="19" t="s">
        <v>111</v>
      </c>
      <c r="E38" s="16"/>
      <c r="F38" s="88" t="s">
        <v>112</v>
      </c>
      <c r="G38" s="88"/>
      <c r="H38" s="88"/>
      <c r="I38" s="89">
        <f>Engine!B11</f>
        <v>1.674832842192016</v>
      </c>
      <c r="J38" s="89"/>
    </row>
    <row r="39" spans="1:10" ht="22.5" customHeight="1" x14ac:dyDescent="0.25">
      <c r="A39" s="35" t="s">
        <v>91</v>
      </c>
      <c r="B39" s="40">
        <f>Engine!B54</f>
        <v>0.5</v>
      </c>
      <c r="C39" s="19" t="s">
        <v>113</v>
      </c>
      <c r="D39" s="19" t="s">
        <v>114</v>
      </c>
      <c r="E39" s="16"/>
      <c r="F39" s="88" t="s">
        <v>115</v>
      </c>
      <c r="G39" s="88"/>
      <c r="H39" s="88"/>
      <c r="I39" s="89">
        <f>Engine!B9</f>
        <v>1.28833295553232</v>
      </c>
      <c r="J39" s="89"/>
    </row>
    <row r="40" spans="1:10" ht="22.5" customHeight="1" x14ac:dyDescent="0.25">
      <c r="A40" s="35" t="s">
        <v>116</v>
      </c>
      <c r="B40" s="36">
        <f>Engine!B44</f>
        <v>140</v>
      </c>
      <c r="C40" s="19" t="s">
        <v>117</v>
      </c>
      <c r="D40" s="19" t="s">
        <v>118</v>
      </c>
      <c r="E40" s="16"/>
      <c r="F40" s="88" t="s">
        <v>119</v>
      </c>
      <c r="G40" s="88"/>
      <c r="H40" s="88"/>
      <c r="I40" s="89">
        <f>Engine!B10</f>
        <v>1.3</v>
      </c>
      <c r="J40" s="89"/>
    </row>
    <row r="41" spans="1:10" ht="22.5" customHeight="1" x14ac:dyDescent="0.25">
      <c r="A41" s="35" t="s">
        <v>120</v>
      </c>
      <c r="B41" s="38" t="str">
        <f>Engine!B55</f>
        <v>Cosine</v>
      </c>
      <c r="C41" s="19" t="s">
        <v>121</v>
      </c>
      <c r="D41" s="19" t="s">
        <v>122</v>
      </c>
      <c r="E41" s="16"/>
      <c r="F41" s="88" t="s">
        <v>123</v>
      </c>
      <c r="G41" s="88"/>
      <c r="H41" s="88"/>
      <c r="I41" s="89">
        <f>Engine!B16</f>
        <v>0.11072731797236822</v>
      </c>
      <c r="J41" s="89"/>
    </row>
    <row r="42" spans="1:10" ht="22.5" customHeight="1" x14ac:dyDescent="0.25">
      <c r="A42" s="35" t="s">
        <v>124</v>
      </c>
      <c r="B42" s="36">
        <f>B16</f>
        <v>1</v>
      </c>
      <c r="C42" s="19" t="s">
        <v>104</v>
      </c>
      <c r="D42" s="19" t="s">
        <v>125</v>
      </c>
      <c r="E42" s="16"/>
      <c r="F42" s="88" t="s">
        <v>50</v>
      </c>
      <c r="G42" s="88"/>
      <c r="H42" s="88"/>
      <c r="I42" s="89" t="str">
        <f>B41</f>
        <v>Cosine</v>
      </c>
      <c r="J42" s="89"/>
    </row>
    <row r="43" spans="1:10" ht="22.5" customHeight="1" x14ac:dyDescent="0.25">
      <c r="A43" s="25" t="s">
        <v>126</v>
      </c>
      <c r="B43" s="41">
        <f>Engine!B19</f>
        <v>-1</v>
      </c>
      <c r="C43" s="19" t="s">
        <v>127</v>
      </c>
      <c r="D43" s="19" t="s">
        <v>128</v>
      </c>
      <c r="E43" s="16"/>
      <c r="F43" s="16"/>
      <c r="G43" s="16"/>
      <c r="H43" s="16"/>
      <c r="I43" s="16"/>
      <c r="J43" s="16"/>
    </row>
    <row r="44" spans="1:10" ht="30" customHeight="1" x14ac:dyDescent="0.25">
      <c r="A44" s="10" t="s">
        <v>129</v>
      </c>
      <c r="B44" s="10"/>
      <c r="C44" s="10"/>
      <c r="D44" s="10"/>
      <c r="E44" s="16"/>
      <c r="F44" s="16"/>
      <c r="G44" s="16"/>
      <c r="H44" s="16"/>
      <c r="I44" s="16"/>
      <c r="J44" s="16"/>
    </row>
    <row r="45" spans="1:10" ht="27" customHeight="1" x14ac:dyDescent="0.25">
      <c r="A45" s="18" t="s">
        <v>130</v>
      </c>
      <c r="B45" s="18" t="s">
        <v>84</v>
      </c>
      <c r="C45" s="18"/>
      <c r="D45" s="18" t="s">
        <v>131</v>
      </c>
      <c r="E45" s="16"/>
      <c r="F45" s="5" t="s">
        <v>132</v>
      </c>
      <c r="G45" s="5"/>
      <c r="H45" s="5"/>
      <c r="I45" s="5"/>
      <c r="J45" s="5"/>
    </row>
    <row r="46" spans="1:10" ht="22.5" customHeight="1" x14ac:dyDescent="0.25">
      <c r="A46" s="19" t="s">
        <v>115</v>
      </c>
      <c r="B46" s="42">
        <f>Engine!B9</f>
        <v>1.28833295553232</v>
      </c>
      <c r="C46" s="19" t="s">
        <v>133</v>
      </c>
      <c r="D46" s="19" t="s">
        <v>134</v>
      </c>
      <c r="E46" s="16"/>
      <c r="F46" s="90" t="s">
        <v>135</v>
      </c>
      <c r="G46" s="90"/>
      <c r="H46" s="90"/>
      <c r="I46" s="90"/>
      <c r="J46" s="90"/>
    </row>
    <row r="47" spans="1:10" ht="22.5" customHeight="1" x14ac:dyDescent="0.25">
      <c r="A47" s="19" t="s">
        <v>136</v>
      </c>
      <c r="B47" s="42">
        <f>Engine!B10</f>
        <v>1.3</v>
      </c>
      <c r="C47" s="19" t="s">
        <v>137</v>
      </c>
      <c r="D47" s="19" t="s">
        <v>138</v>
      </c>
      <c r="E47" s="16"/>
      <c r="F47" s="90" t="s">
        <v>139</v>
      </c>
      <c r="G47" s="90"/>
      <c r="H47" s="90"/>
      <c r="I47" s="90"/>
      <c r="J47" s="90"/>
    </row>
    <row r="48" spans="1:10" ht="22.5" customHeight="1" x14ac:dyDescent="0.25">
      <c r="A48" s="19" t="s">
        <v>112</v>
      </c>
      <c r="B48" s="42">
        <f>Engine!B11</f>
        <v>1.674832842192016</v>
      </c>
      <c r="C48" s="19"/>
      <c r="D48" s="19" t="s">
        <v>140</v>
      </c>
      <c r="E48" s="16"/>
      <c r="F48" s="90" t="s">
        <v>141</v>
      </c>
      <c r="G48" s="90"/>
      <c r="H48" s="90"/>
      <c r="I48" s="90"/>
      <c r="J48" s="90"/>
    </row>
    <row r="49" spans="1:10" ht="22.5" customHeight="1" x14ac:dyDescent="0.25">
      <c r="A49" s="19" t="s">
        <v>142</v>
      </c>
      <c r="B49" s="34" t="str">
        <f>IF(AND(B21="Good",OR(B22="Good",B22="NA"),B23=0),"None (first run)","Instruments: "&amp;B21&amp;", Vocals: "&amp;B22&amp;IF(B23&gt;0,", peak step "&amp;B23,""))</f>
        <v>None (first run)</v>
      </c>
      <c r="C49" s="19"/>
      <c r="D49" s="19" t="s">
        <v>143</v>
      </c>
      <c r="E49" s="16"/>
      <c r="F49" s="90" t="s">
        <v>144</v>
      </c>
      <c r="G49" s="90"/>
      <c r="H49" s="90"/>
      <c r="I49" s="90"/>
      <c r="J49" s="90"/>
    </row>
    <row r="50" spans="1:10" ht="22.5" customHeight="1" x14ac:dyDescent="0.25">
      <c r="A50" s="19" t="s">
        <v>145</v>
      </c>
      <c r="B50" s="34" t="str">
        <f>IF(B27="Yes",IF(LEFT(Calibration!B47,7)="Nothing","On, but nothing entered on the Calibration sheet","On - "&amp;Calibration!B47),"Off")</f>
        <v>On - 64</v>
      </c>
      <c r="C50" s="19"/>
      <c r="D50" s="19" t="s">
        <v>146</v>
      </c>
      <c r="E50" s="16"/>
      <c r="F50" s="16"/>
      <c r="G50" s="16"/>
      <c r="H50" s="16"/>
      <c r="I50" s="16"/>
      <c r="J50" s="16"/>
    </row>
    <row r="51" spans="1:10" ht="22.5" customHeight="1" x14ac:dyDescent="0.25">
      <c r="A51" s="19" t="s">
        <v>147</v>
      </c>
      <c r="B51" s="34" t="str">
        <f>IF(B23&gt;0,"Re-fitted so the peak sits at step "&amp;B23,"Standard schedule from dataset size")</f>
        <v>Standard schedule from dataset size</v>
      </c>
      <c r="C51" s="19"/>
      <c r="D51" s="19" t="s">
        <v>148</v>
      </c>
      <c r="E51" s="16"/>
      <c r="F51" s="91" t="s">
        <v>149</v>
      </c>
      <c r="G51" s="91"/>
      <c r="H51" s="91"/>
      <c r="I51" s="91"/>
      <c r="J51" s="91"/>
    </row>
    <row r="52" spans="1:10" ht="22.5" customHeight="1" x14ac:dyDescent="0.25">
      <c r="A52" s="19"/>
      <c r="B52" s="19"/>
      <c r="C52" s="19"/>
      <c r="D52" s="19"/>
      <c r="E52" s="16"/>
      <c r="F52" s="91"/>
      <c r="G52" s="91"/>
      <c r="H52" s="91"/>
      <c r="I52" s="91"/>
      <c r="J52" s="91"/>
    </row>
    <row r="53" spans="1:10" ht="22.5" customHeight="1" x14ac:dyDescent="0.25">
      <c r="A53" s="92" t="s">
        <v>150</v>
      </c>
      <c r="B53" s="92"/>
      <c r="C53" s="92"/>
      <c r="D53" s="92"/>
      <c r="E53" s="16"/>
      <c r="F53" s="91"/>
      <c r="G53" s="91"/>
      <c r="H53" s="91"/>
      <c r="I53" s="91"/>
      <c r="J53" s="91"/>
    </row>
  </sheetData>
  <mergeCells count="64">
    <mergeCell ref="F47:J47"/>
    <mergeCell ref="F48:J48"/>
    <mergeCell ref="F49:J49"/>
    <mergeCell ref="F51:J53"/>
    <mergeCell ref="A53:D53"/>
    <mergeCell ref="F42:H42"/>
    <mergeCell ref="I42:J42"/>
    <mergeCell ref="A44:D44"/>
    <mergeCell ref="F45:J45"/>
    <mergeCell ref="F46:J46"/>
    <mergeCell ref="F39:H39"/>
    <mergeCell ref="I39:J39"/>
    <mergeCell ref="F40:H40"/>
    <mergeCell ref="I40:J40"/>
    <mergeCell ref="F41:H41"/>
    <mergeCell ref="I41:J41"/>
    <mergeCell ref="F35:H35"/>
    <mergeCell ref="I35:J35"/>
    <mergeCell ref="F37:J37"/>
    <mergeCell ref="F38:H38"/>
    <mergeCell ref="I38:J38"/>
    <mergeCell ref="F32:H32"/>
    <mergeCell ref="I32:J32"/>
    <mergeCell ref="F33:H33"/>
    <mergeCell ref="I33:J33"/>
    <mergeCell ref="F34:H34"/>
    <mergeCell ref="I34:J34"/>
    <mergeCell ref="A30:D30"/>
    <mergeCell ref="F30:H30"/>
    <mergeCell ref="I30:J30"/>
    <mergeCell ref="F31:H31"/>
    <mergeCell ref="I31:J31"/>
    <mergeCell ref="F27:H27"/>
    <mergeCell ref="I27:J27"/>
    <mergeCell ref="F28:H28"/>
    <mergeCell ref="I28:J28"/>
    <mergeCell ref="F29:H29"/>
    <mergeCell ref="I29:J29"/>
    <mergeCell ref="F22:J23"/>
    <mergeCell ref="A25:D25"/>
    <mergeCell ref="F25:J25"/>
    <mergeCell ref="F26:H26"/>
    <mergeCell ref="I26:J26"/>
    <mergeCell ref="A13:D13"/>
    <mergeCell ref="F13:J13"/>
    <mergeCell ref="A19:D19"/>
    <mergeCell ref="F19:J19"/>
    <mergeCell ref="F20:J21"/>
    <mergeCell ref="J6:J7"/>
    <mergeCell ref="F9:G9"/>
    <mergeCell ref="H9:I9"/>
    <mergeCell ref="F10:G11"/>
    <mergeCell ref="H10:I11"/>
    <mergeCell ref="J10:J11"/>
    <mergeCell ref="A5:D5"/>
    <mergeCell ref="F5:G5"/>
    <mergeCell ref="H5:I5"/>
    <mergeCell ref="F6:G7"/>
    <mergeCell ref="H6:I7"/>
    <mergeCell ref="A1:J1"/>
    <mergeCell ref="A2:J2"/>
    <mergeCell ref="A3:D3"/>
    <mergeCell ref="F3:J3"/>
    <mergeCell ref="A4:J4"/>
  </mergeCells>
  <dataValidations count="14">
    <dataValidation type="whole" operator="greaterThanOrEqual" showInputMessage="1" showErrorMessage="1" errorTitle="Not allowed" error="Please pick or enter a value from the allowed range." promptTitle="Number of tracks" prompt="Count the original songs (not clips). Whole number, 1 or more." sqref="B7" xr:uid="{00000000-0002-0000-0000-000000000000}">
      <formula1>1</formula1>
      <formula2>0</formula2>
    </dataValidation>
    <dataValidation type="decimal" operator="greaterThan" showInputMessage="1" showErrorMessage="1" errorTitle="Not allowed" error="Please pick or enter a value from the allowed range." promptTitle="Total audio time" prompt="Combined length of all tracks, in minutes." sqref="B8" xr:uid="{00000000-0002-0000-0000-000001000000}">
      <formula1>0</formula1>
      <formula2>0</formula2>
    </dataValidation>
    <dataValidation type="list" showInputMessage="1" showErrorMessage="1" errorTitle="Not allowed" error="Please pick or enter a value from the allowed range." promptTitle="Music complexity" prompt="1 = sparse, simple. 10 = multi-layered, complicated music." sqref="B9" xr:uid="{00000000-0002-0000-0000-000002000000}">
      <formula1>"1,2,3,4,5,6,7,8,9,10"</formula1>
      <formula2>0</formula2>
    </dataValidation>
    <dataValidation type="list" showInputMessage="1" showErrorMessage="1" errorTitle="Not allowed" error="Please pick or enter a value from the allowed range." promptTitle="Tag quality" prompt="1 = poor or missing tags. 10 = best: about 28 specific tags per track." sqref="B10" xr:uid="{00000000-0002-0000-0000-000003000000}">
      <formula1>"1,2,3,4,5,6,7,8,9,10"</formula1>
      <formula2>0</formula2>
    </dataValidation>
    <dataValidation type="list" showInputMessage="1" showErrorMessage="1" errorTitle="Not allowed" error="Please pick or enter a value from the allowed range." promptTitle="Split into clips?" prompt="Yes if you cut the songs into short clips." sqref="B11" xr:uid="{00000000-0002-0000-0000-000004000000}">
      <formula1>"Yes,No"</formula1>
      <formula2>0</formula2>
    </dataValidation>
    <dataValidation type="list" showInputMessage="1" showErrorMessage="1" errorTitle="Not allowed" error="Please pick or enter a value from the allowed range." promptTitle="Optimizer" prompt="Prodigy and Muon pick their own learning rate." sqref="B15" xr:uid="{00000000-0002-0000-0000-000005000000}">
      <formula1>"AdamW,AdamW (graph experimental),Prodigy,Muon"</formula1>
      <formula2>0</formula2>
    </dataValidation>
    <dataValidation type="whole" showInputMessage="1" showErrorMessage="1" errorTitle="Not allowed" error="Please pick or enter a value from the allowed range." promptTitle="Accumulation steps" prompt="Whole number from 1 to 64." sqref="B16" xr:uid="{00000000-0002-0000-0000-000006000000}">
      <formula1>1</formula1>
      <formula2>64</formula2>
    </dataValidation>
    <dataValidation type="list" showInputMessage="1" showErrorMessage="1" errorTitle="Not allowed" error="Please pick or enter a value from the allowed range." promptTitle="Decay shape" prompt="Auto is recommended." sqref="B17" xr:uid="{00000000-0002-0000-0000-000007000000}">
      <formula1>"Auto,Cosine,Linear"</formula1>
      <formula2>0</formula2>
    </dataValidation>
    <dataValidation type="list" showInputMessage="1" showErrorMessage="1" errorTitle="Not allowed" error="Please pick or enter a value from the allowed range." promptTitle="Instruments" prompt="Good / Weak (lacks character) / Overcooked (memorised)." sqref="B21" xr:uid="{00000000-0002-0000-0000-000008000000}">
      <formula1>"Good,Weak,Overcooked"</formula1>
      <formula2>0</formula2>
    </dataValidation>
    <dataValidation type="list" showInputMessage="1" showErrorMessage="1" errorTitle="Not allowed" error="Please pick or enter a value from the allowed range." promptTitle="Vocals" prompt="Good / Weak / Overcooked, or NA for instrumentals." sqref="B22" xr:uid="{00000000-0002-0000-0000-000009000000}">
      <formula1>"Good,Weak,Overcooked,NA"</formula1>
      <formula2>0</formula2>
    </dataValidation>
    <dataValidation type="whole" operator="greaterThanOrEqual" showInputMessage="1" showErrorMessage="1" errorTitle="Not allowed" error="Please pick or enter a value from the allowed range." promptTitle="Best peak step" prompt="Best checkpoint step from your trial run; 0 on the first run." sqref="B23" xr:uid="{00000000-0002-0000-0000-00000A000000}">
      <formula1>0</formula1>
      <formula2>0</formula2>
    </dataValidation>
    <dataValidation type="decimal" operator="greaterThanOrEqual" allowBlank="1" errorTitle="Invalid caption tag count" error="Enter 0 or a positive number." promptTitle="Python caption tag count" prompt="Enter the average number of comma-separated caption tags per track, averaged over ALL tracks. Missing captions count as 0." sqref="B12" xr:uid="{00000000-0002-0000-0000-00000B000000}">
      <formula1>0</formula1>
      <formula2>0</formula2>
    </dataValidation>
    <dataValidation type="list" sqref="B18" xr:uid="{00000000-0002-0000-0000-00000C000000}">
      <formula1>"LoRA,LoKr"</formula1>
      <formula2>0</formula2>
    </dataValidation>
    <dataValidation type="list" sqref="B27" xr:uid="{00000000-0002-0000-0000-00000D000000}">
      <formula1>"Yes,No"</formula1>
      <formula2>0</formula2>
    </dataValidation>
  </dataValidations>
  <pageMargins left="0.75" right="0.75" top="1" bottom="1" header="0.511811023622047" footer="0.511811023622047"/>
  <pageSetup fitToHeight="0"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C3AED"/>
    <pageSetUpPr fitToPage="1"/>
  </sheetPr>
  <dimension ref="A1:D67"/>
  <sheetViews>
    <sheetView showGridLines="0" zoomScaleNormal="100" workbookViewId="0">
      <pane ySplit="5" topLeftCell="A6" activePane="bottomLeft" state="frozen"/>
      <selection pane="bottomLeft"/>
    </sheetView>
  </sheetViews>
  <sheetFormatPr defaultColWidth="8.7109375" defaultRowHeight="15" customHeight="1" x14ac:dyDescent="0.25"/>
  <cols>
    <col min="1" max="1" width="34" style="15" customWidth="1"/>
    <col min="2" max="2" width="24" style="15" customWidth="1"/>
    <col min="3" max="3" width="30" style="15" customWidth="1"/>
    <col min="4" max="4" width="64" style="15" customWidth="1"/>
  </cols>
  <sheetData>
    <row r="1" spans="1:4" ht="36" customHeight="1" x14ac:dyDescent="0.25">
      <c r="A1" s="93" t="s">
        <v>151</v>
      </c>
      <c r="B1" s="93"/>
      <c r="C1" s="93"/>
      <c r="D1" s="93"/>
    </row>
    <row r="2" spans="1:4" ht="42" customHeight="1" x14ac:dyDescent="0.25">
      <c r="A2" s="94" t="s">
        <v>152</v>
      </c>
      <c r="B2" s="94"/>
      <c r="C2" s="94"/>
      <c r="D2" s="94"/>
    </row>
    <row r="3" spans="1:4" ht="21.75" customHeight="1" x14ac:dyDescent="0.25">
      <c r="A3" s="44" t="s">
        <v>153</v>
      </c>
      <c r="B3" s="45" t="s">
        <v>154</v>
      </c>
      <c r="C3" s="41" t="s">
        <v>155</v>
      </c>
      <c r="D3" s="44" t="s">
        <v>156</v>
      </c>
    </row>
    <row r="4" spans="1:4" ht="15" customHeight="1" x14ac:dyDescent="0.25">
      <c r="A4" s="44"/>
      <c r="B4" s="44"/>
      <c r="C4" s="44"/>
      <c r="D4" s="44"/>
    </row>
    <row r="5" spans="1:4" ht="21.75" customHeight="1" x14ac:dyDescent="0.25">
      <c r="A5" s="95" t="s">
        <v>157</v>
      </c>
      <c r="B5" s="95"/>
      <c r="C5" s="95"/>
      <c r="D5" s="95"/>
    </row>
    <row r="6" spans="1:4" ht="19.5" customHeight="1" x14ac:dyDescent="0.25">
      <c r="A6" s="46" t="s">
        <v>9</v>
      </c>
      <c r="B6" s="46" t="s">
        <v>10</v>
      </c>
      <c r="C6" s="46" t="s">
        <v>11</v>
      </c>
      <c r="D6" s="46" t="s">
        <v>12</v>
      </c>
    </row>
    <row r="7" spans="1:4" ht="41.25" customHeight="1" x14ac:dyDescent="0.25">
      <c r="A7" s="44" t="s">
        <v>158</v>
      </c>
      <c r="B7" s="47" t="s">
        <v>159</v>
      </c>
      <c r="C7" s="44" t="s">
        <v>160</v>
      </c>
      <c r="D7" s="48" t="s">
        <v>161</v>
      </c>
    </row>
    <row r="8" spans="1:4" ht="18" customHeight="1" x14ac:dyDescent="0.25">
      <c r="A8" s="44" t="s">
        <v>162</v>
      </c>
      <c r="B8" s="47" t="s">
        <v>163</v>
      </c>
      <c r="C8" s="44" t="s">
        <v>164</v>
      </c>
      <c r="D8" s="48" t="s">
        <v>165</v>
      </c>
    </row>
    <row r="9" spans="1:4" ht="18" customHeight="1" x14ac:dyDescent="0.25">
      <c r="A9" s="44" t="s">
        <v>13</v>
      </c>
      <c r="B9" s="49">
        <v>10</v>
      </c>
      <c r="C9" s="44" t="s">
        <v>14</v>
      </c>
      <c r="D9" s="48" t="s">
        <v>166</v>
      </c>
    </row>
    <row r="10" spans="1:4" ht="18" customHeight="1" x14ac:dyDescent="0.25">
      <c r="A10" s="44" t="s">
        <v>16</v>
      </c>
      <c r="B10" s="50">
        <v>63.749337847222201</v>
      </c>
      <c r="C10" s="44" t="s">
        <v>17</v>
      </c>
      <c r="D10" s="48" t="s">
        <v>167</v>
      </c>
    </row>
    <row r="11" spans="1:4" ht="28.5" customHeight="1" x14ac:dyDescent="0.25">
      <c r="A11" s="44" t="s">
        <v>19</v>
      </c>
      <c r="B11" s="49">
        <v>10</v>
      </c>
      <c r="C11" s="44" t="s">
        <v>20</v>
      </c>
      <c r="D11" s="48" t="s">
        <v>168</v>
      </c>
    </row>
    <row r="12" spans="1:4" ht="18" customHeight="1" x14ac:dyDescent="0.25">
      <c r="A12" s="44" t="s">
        <v>169</v>
      </c>
      <c r="B12" s="49">
        <v>10</v>
      </c>
      <c r="C12" s="44" t="s">
        <v>20</v>
      </c>
      <c r="D12" s="48" t="s">
        <v>170</v>
      </c>
    </row>
    <row r="13" spans="1:4" ht="18" customHeight="1" x14ac:dyDescent="0.25">
      <c r="A13" s="44" t="s">
        <v>27</v>
      </c>
      <c r="B13" s="47" t="s">
        <v>28</v>
      </c>
      <c r="C13" s="44" t="s">
        <v>29</v>
      </c>
      <c r="D13" s="48" t="s">
        <v>171</v>
      </c>
    </row>
    <row r="14" spans="1:4" ht="15" customHeight="1" x14ac:dyDescent="0.25">
      <c r="A14" s="51" t="s">
        <v>54</v>
      </c>
      <c r="B14" s="32" t="s">
        <v>55</v>
      </c>
      <c r="C14" s="44" t="s">
        <v>56</v>
      </c>
      <c r="D14" s="44" t="s">
        <v>172</v>
      </c>
    </row>
    <row r="15" spans="1:4" ht="21.75" customHeight="1" x14ac:dyDescent="0.25">
      <c r="A15" s="95" t="s">
        <v>173</v>
      </c>
      <c r="B15" s="95"/>
      <c r="C15" s="95"/>
      <c r="D15" s="95"/>
    </row>
    <row r="16" spans="1:4" ht="19.5" customHeight="1" x14ac:dyDescent="0.25">
      <c r="A16" s="46" t="s">
        <v>83</v>
      </c>
      <c r="B16" s="46" t="s">
        <v>174</v>
      </c>
      <c r="C16" s="46" t="s">
        <v>11</v>
      </c>
      <c r="D16" s="46" t="s">
        <v>12</v>
      </c>
    </row>
    <row r="17" spans="1:4" ht="28.5" customHeight="1" x14ac:dyDescent="0.25">
      <c r="A17" s="44" t="s">
        <v>88</v>
      </c>
      <c r="B17" s="49">
        <v>64</v>
      </c>
      <c r="C17" s="44" t="s">
        <v>175</v>
      </c>
      <c r="D17" s="48" t="s">
        <v>176</v>
      </c>
    </row>
    <row r="18" spans="1:4" ht="18" customHeight="1" x14ac:dyDescent="0.25">
      <c r="A18" s="44" t="s">
        <v>92</v>
      </c>
      <c r="B18" s="49">
        <v>64</v>
      </c>
      <c r="C18" s="44" t="s">
        <v>17</v>
      </c>
      <c r="D18" s="48" t="s">
        <v>177</v>
      </c>
    </row>
    <row r="19" spans="1:4" ht="18" customHeight="1" x14ac:dyDescent="0.25">
      <c r="A19" s="44" t="s">
        <v>178</v>
      </c>
      <c r="B19" s="52">
        <v>0.12</v>
      </c>
      <c r="C19" s="44" t="s">
        <v>97</v>
      </c>
      <c r="D19" s="48" t="s">
        <v>179</v>
      </c>
    </row>
    <row r="20" spans="1:4" ht="41.25" customHeight="1" x14ac:dyDescent="0.25">
      <c r="A20" s="44" t="s">
        <v>180</v>
      </c>
      <c r="B20" s="49">
        <v>380</v>
      </c>
      <c r="C20" s="44" t="s">
        <v>181</v>
      </c>
      <c r="D20" s="48" t="s">
        <v>182</v>
      </c>
    </row>
    <row r="21" spans="1:4" ht="28.5" customHeight="1" x14ac:dyDescent="0.25">
      <c r="A21" s="44" t="s">
        <v>183</v>
      </c>
      <c r="B21" s="53">
        <v>6.9999999999999994E-5</v>
      </c>
      <c r="C21" s="44" t="s">
        <v>17</v>
      </c>
      <c r="D21" s="48" t="s">
        <v>184</v>
      </c>
    </row>
    <row r="22" spans="1:4" ht="28.5" customHeight="1" x14ac:dyDescent="0.25">
      <c r="A22" s="44" t="s">
        <v>185</v>
      </c>
      <c r="B22" s="49">
        <v>1</v>
      </c>
      <c r="C22" s="44" t="s">
        <v>14</v>
      </c>
      <c r="D22" s="48" t="s">
        <v>186</v>
      </c>
    </row>
    <row r="23" spans="1:4" ht="18" customHeight="1" x14ac:dyDescent="0.25">
      <c r="A23" s="44" t="s">
        <v>187</v>
      </c>
      <c r="B23" s="52">
        <v>0.47</v>
      </c>
      <c r="C23" s="44" t="s">
        <v>110</v>
      </c>
      <c r="D23" s="48" t="s">
        <v>188</v>
      </c>
    </row>
    <row r="24" spans="1:4" ht="18" customHeight="1" x14ac:dyDescent="0.25">
      <c r="A24" s="44" t="s">
        <v>189</v>
      </c>
      <c r="B24" s="54">
        <v>0.5</v>
      </c>
      <c r="C24" s="44" t="s">
        <v>113</v>
      </c>
      <c r="D24" s="48" t="s">
        <v>190</v>
      </c>
    </row>
    <row r="25" spans="1:4" ht="28.5" customHeight="1" x14ac:dyDescent="0.25">
      <c r="A25" s="51" t="s">
        <v>191</v>
      </c>
      <c r="B25" s="55">
        <v>28</v>
      </c>
      <c r="C25" s="44" t="s">
        <v>32</v>
      </c>
      <c r="D25" s="56" t="s">
        <v>192</v>
      </c>
    </row>
    <row r="26" spans="1:4" ht="18" customHeight="1" x14ac:dyDescent="0.25">
      <c r="A26" s="44" t="s">
        <v>50</v>
      </c>
      <c r="B26" s="47" t="s">
        <v>193</v>
      </c>
      <c r="C26" s="44" t="s">
        <v>121</v>
      </c>
      <c r="D26" s="48" t="s">
        <v>194</v>
      </c>
    </row>
    <row r="27" spans="1:4" ht="15" customHeight="1" x14ac:dyDescent="0.25">
      <c r="A27" s="44" t="s">
        <v>126</v>
      </c>
      <c r="B27" s="44">
        <v>-1</v>
      </c>
      <c r="C27" s="44" t="s">
        <v>127</v>
      </c>
      <c r="D27" s="44" t="s">
        <v>195</v>
      </c>
    </row>
    <row r="28" spans="1:4" ht="21.75" customHeight="1" x14ac:dyDescent="0.25">
      <c r="A28" s="96" t="s">
        <v>196</v>
      </c>
      <c r="B28" s="96"/>
      <c r="C28" s="96"/>
      <c r="D28" s="96"/>
    </row>
    <row r="29" spans="1:4" ht="19.5" customHeight="1" x14ac:dyDescent="0.25">
      <c r="A29" s="46" t="s">
        <v>130</v>
      </c>
      <c r="B29" s="46" t="s">
        <v>10</v>
      </c>
      <c r="C29" s="46" t="s">
        <v>11</v>
      </c>
      <c r="D29" s="46" t="s">
        <v>12</v>
      </c>
    </row>
    <row r="30" spans="1:4" ht="28.5" customHeight="1" x14ac:dyDescent="0.25">
      <c r="A30" s="44" t="s">
        <v>197</v>
      </c>
      <c r="B30" s="49">
        <v>375</v>
      </c>
      <c r="C30" s="44" t="s">
        <v>181</v>
      </c>
      <c r="D30" s="48" t="s">
        <v>198</v>
      </c>
    </row>
    <row r="31" spans="1:4" ht="18" customHeight="1" x14ac:dyDescent="0.25">
      <c r="A31" s="44" t="s">
        <v>199</v>
      </c>
      <c r="B31" s="54">
        <v>0.8</v>
      </c>
      <c r="C31" s="44" t="s">
        <v>200</v>
      </c>
      <c r="D31" s="48" t="s">
        <v>201</v>
      </c>
    </row>
    <row r="32" spans="1:4" ht="18" customHeight="1" x14ac:dyDescent="0.25">
      <c r="A32" s="44" t="s">
        <v>202</v>
      </c>
      <c r="B32" s="54">
        <v>0.74</v>
      </c>
      <c r="C32" s="44" t="s">
        <v>200</v>
      </c>
      <c r="D32" s="48" t="s">
        <v>203</v>
      </c>
    </row>
    <row r="33" spans="1:4" ht="18" customHeight="1" x14ac:dyDescent="0.25">
      <c r="A33" s="44" t="s">
        <v>204</v>
      </c>
      <c r="B33" s="47" t="s">
        <v>61</v>
      </c>
      <c r="C33" s="44" t="s">
        <v>65</v>
      </c>
      <c r="D33" s="48" t="s">
        <v>205</v>
      </c>
    </row>
    <row r="34" spans="1:4" ht="18" customHeight="1" x14ac:dyDescent="0.25">
      <c r="A34" s="44" t="s">
        <v>206</v>
      </c>
      <c r="B34" s="47" t="s">
        <v>61</v>
      </c>
      <c r="C34" s="44" t="s">
        <v>65</v>
      </c>
      <c r="D34" s="48" t="s">
        <v>207</v>
      </c>
    </row>
    <row r="35" spans="1:4" ht="15" customHeight="1" x14ac:dyDescent="0.25">
      <c r="A35" s="44"/>
      <c r="B35" s="44"/>
      <c r="C35" s="44"/>
      <c r="D35" s="44"/>
    </row>
    <row r="36" spans="1:4" ht="21.75" customHeight="1" x14ac:dyDescent="0.25">
      <c r="A36" s="97" t="s">
        <v>208</v>
      </c>
      <c r="B36" s="97"/>
      <c r="C36" s="97"/>
      <c r="D36" s="97"/>
    </row>
    <row r="37" spans="1:4" ht="19.5" customHeight="1" x14ac:dyDescent="0.25">
      <c r="A37" s="46" t="s">
        <v>209</v>
      </c>
      <c r="B37" s="58">
        <v>6.0913049138667003E-5</v>
      </c>
      <c r="C37" s="46" t="s">
        <v>210</v>
      </c>
      <c r="D37" s="46" t="s">
        <v>211</v>
      </c>
    </row>
    <row r="38" spans="1:4" ht="28.5" customHeight="1" x14ac:dyDescent="0.25">
      <c r="A38" s="44" t="s">
        <v>212</v>
      </c>
      <c r="B38" s="59">
        <v>38.302850860727503</v>
      </c>
      <c r="C38" s="44" t="s">
        <v>210</v>
      </c>
      <c r="D38" s="48" t="s">
        <v>213</v>
      </c>
    </row>
    <row r="39" spans="1:4" ht="28.5" customHeight="1" x14ac:dyDescent="0.25">
      <c r="A39" s="44" t="s">
        <v>214</v>
      </c>
      <c r="B39" s="59">
        <v>366</v>
      </c>
      <c r="C39" s="44" t="s">
        <v>215</v>
      </c>
      <c r="D39" s="48" t="s">
        <v>216</v>
      </c>
    </row>
    <row r="40" spans="1:4" ht="28.5" customHeight="1" x14ac:dyDescent="0.25">
      <c r="A40" s="44" t="s">
        <v>217</v>
      </c>
      <c r="B40" s="59">
        <v>0.12</v>
      </c>
      <c r="C40" s="44" t="s">
        <v>215</v>
      </c>
      <c r="D40" s="48" t="s">
        <v>218</v>
      </c>
    </row>
    <row r="41" spans="1:4" ht="18" customHeight="1" x14ac:dyDescent="0.25">
      <c r="A41" s="44" t="s">
        <v>219</v>
      </c>
      <c r="B41" s="59">
        <v>0.47</v>
      </c>
      <c r="C41" s="44" t="s">
        <v>215</v>
      </c>
      <c r="D41" s="48" t="s">
        <v>220</v>
      </c>
    </row>
    <row r="42" spans="1:4" ht="18" customHeight="1" x14ac:dyDescent="0.25">
      <c r="A42" s="44" t="s">
        <v>221</v>
      </c>
      <c r="B42" s="59">
        <v>0.5</v>
      </c>
      <c r="C42" s="44" t="s">
        <v>215</v>
      </c>
      <c r="D42" s="48" t="s">
        <v>222</v>
      </c>
    </row>
    <row r="43" spans="1:4" ht="18" customHeight="1" x14ac:dyDescent="0.25">
      <c r="A43" s="44" t="s">
        <v>223</v>
      </c>
      <c r="B43" s="59">
        <v>380</v>
      </c>
      <c r="C43" s="44" t="s">
        <v>215</v>
      </c>
      <c r="D43" s="48" t="s">
        <v>224</v>
      </c>
    </row>
    <row r="44" spans="1:4" ht="18" customHeight="1" x14ac:dyDescent="0.25">
      <c r="A44" s="44" t="s">
        <v>225</v>
      </c>
      <c r="B44" s="59">
        <v>140</v>
      </c>
      <c r="C44" s="44" t="s">
        <v>215</v>
      </c>
      <c r="D44" s="48" t="s">
        <v>226</v>
      </c>
    </row>
    <row r="45" spans="1:4" ht="18" customHeight="1" x14ac:dyDescent="0.25">
      <c r="A45" s="44" t="s">
        <v>227</v>
      </c>
      <c r="B45" s="59">
        <v>6.9999999999999994E-5</v>
      </c>
      <c r="C45" s="44" t="s">
        <v>215</v>
      </c>
      <c r="D45" s="48" t="s">
        <v>228</v>
      </c>
    </row>
    <row r="46" spans="1:4" ht="30" customHeight="1" x14ac:dyDescent="0.25">
      <c r="A46" s="44" t="s">
        <v>229</v>
      </c>
      <c r="B46" s="59">
        <v>64</v>
      </c>
      <c r="C46" s="44" t="s">
        <v>215</v>
      </c>
      <c r="D46" s="48" t="s">
        <v>230</v>
      </c>
    </row>
    <row r="47" spans="1:4" ht="31.5" customHeight="1" x14ac:dyDescent="0.25">
      <c r="A47" s="44" t="s">
        <v>231</v>
      </c>
      <c r="B47" s="60">
        <v>64</v>
      </c>
      <c r="C47" s="44" t="s">
        <v>215</v>
      </c>
      <c r="D47" s="48" t="s">
        <v>232</v>
      </c>
    </row>
    <row r="48" spans="1:4" ht="15" customHeight="1" x14ac:dyDescent="0.25">
      <c r="A48" s="15" t="s">
        <v>233</v>
      </c>
      <c r="B48" s="15">
        <v>0.12</v>
      </c>
      <c r="C48" s="15" t="s">
        <v>215</v>
      </c>
    </row>
    <row r="49" spans="1:4" ht="15" customHeight="1" x14ac:dyDescent="0.25">
      <c r="A49" s="15" t="s">
        <v>234</v>
      </c>
      <c r="B49" s="15">
        <v>0.47</v>
      </c>
      <c r="C49" s="15" t="s">
        <v>215</v>
      </c>
    </row>
    <row r="50" spans="1:4" ht="15" customHeight="1" x14ac:dyDescent="0.25">
      <c r="A50" s="15" t="s">
        <v>235</v>
      </c>
      <c r="B50" s="15">
        <v>0.5</v>
      </c>
      <c r="C50" s="15" t="s">
        <v>215</v>
      </c>
    </row>
    <row r="51" spans="1:4" ht="15" customHeight="1" x14ac:dyDescent="0.25">
      <c r="A51" s="61" t="s">
        <v>236</v>
      </c>
      <c r="B51" s="62">
        <v>1.28833295553232</v>
      </c>
      <c r="C51" s="15" t="s">
        <v>237</v>
      </c>
      <c r="D51" s="63" t="s">
        <v>238</v>
      </c>
    </row>
    <row r="52" spans="1:4" ht="15" customHeight="1" x14ac:dyDescent="0.25">
      <c r="A52" s="15" t="s">
        <v>112</v>
      </c>
      <c r="B52" s="15">
        <f>B51*(0.8+0.5*MAX(0,MIN((B25-4)/24,1)))</f>
        <v>1.674832842192016</v>
      </c>
      <c r="C52" s="15" t="s">
        <v>239</v>
      </c>
      <c r="D52" s="15" t="s">
        <v>240</v>
      </c>
    </row>
    <row r="54" spans="1:4" ht="27.75" customHeight="1" x14ac:dyDescent="0.25">
      <c r="A54" s="57" t="s">
        <v>241</v>
      </c>
      <c r="B54" s="64"/>
      <c r="C54" s="64"/>
      <c r="D54" s="64"/>
    </row>
    <row r="55" spans="1:4" ht="15" customHeight="1" x14ac:dyDescent="0.25">
      <c r="A55" s="46" t="s">
        <v>83</v>
      </c>
      <c r="B55" s="46" t="s">
        <v>242</v>
      </c>
      <c r="C55" s="46" t="s">
        <v>243</v>
      </c>
      <c r="D55" s="46" t="s">
        <v>131</v>
      </c>
    </row>
    <row r="56" spans="1:4" ht="15" customHeight="1" x14ac:dyDescent="0.25">
      <c r="A56" s="44" t="s">
        <v>244</v>
      </c>
      <c r="B56" s="53">
        <v>1.1491790509558399</v>
      </c>
      <c r="C56" s="44" t="s">
        <v>245</v>
      </c>
      <c r="D56" s="48" t="s">
        <v>246</v>
      </c>
    </row>
    <row r="57" spans="1:4" ht="15" customHeight="1" x14ac:dyDescent="0.25">
      <c r="A57" s="44" t="s">
        <v>72</v>
      </c>
      <c r="B57" s="53">
        <v>1.6708939037647501</v>
      </c>
      <c r="C57" s="44" t="s">
        <v>247</v>
      </c>
      <c r="D57" s="48" t="s">
        <v>248</v>
      </c>
    </row>
    <row r="58" spans="1:4" ht="15" customHeight="1" x14ac:dyDescent="0.25">
      <c r="A58" s="44" t="s">
        <v>80</v>
      </c>
      <c r="B58" s="53">
        <v>0.62295081967213095</v>
      </c>
      <c r="C58" s="44" t="s">
        <v>249</v>
      </c>
      <c r="D58" s="48" t="s">
        <v>250</v>
      </c>
    </row>
    <row r="59" spans="1:4" ht="15" customHeight="1" x14ac:dyDescent="0.25">
      <c r="A59" s="44" t="s">
        <v>178</v>
      </c>
      <c r="B59" s="53">
        <v>1</v>
      </c>
      <c r="C59" s="44" t="s">
        <v>251</v>
      </c>
      <c r="D59" s="48" t="s">
        <v>252</v>
      </c>
    </row>
    <row r="60" spans="1:4" ht="15" customHeight="1" x14ac:dyDescent="0.25">
      <c r="A60" s="44" t="s">
        <v>187</v>
      </c>
      <c r="B60" s="53">
        <v>1</v>
      </c>
      <c r="C60" s="44" t="s">
        <v>253</v>
      </c>
      <c r="D60" s="48" t="s">
        <v>254</v>
      </c>
    </row>
    <row r="61" spans="1:4" ht="15" customHeight="1" x14ac:dyDescent="0.25">
      <c r="A61" s="44" t="s">
        <v>255</v>
      </c>
      <c r="B61" s="53">
        <v>0</v>
      </c>
      <c r="C61" s="44" t="s">
        <v>256</v>
      </c>
      <c r="D61" s="48" t="s">
        <v>257</v>
      </c>
    </row>
    <row r="62" spans="1:4" ht="15" customHeight="1" x14ac:dyDescent="0.25">
      <c r="A62" s="44" t="s">
        <v>258</v>
      </c>
      <c r="B62" s="53">
        <v>0.36842105263157898</v>
      </c>
      <c r="C62" s="44" t="s">
        <v>259</v>
      </c>
      <c r="D62" s="48" t="s">
        <v>260</v>
      </c>
    </row>
    <row r="63" spans="1:4" ht="15" customHeight="1" x14ac:dyDescent="0.25">
      <c r="A63" s="44" t="s">
        <v>261</v>
      </c>
      <c r="B63" s="53">
        <v>1</v>
      </c>
      <c r="C63" s="44" t="s">
        <v>262</v>
      </c>
      <c r="D63" s="48" t="s">
        <v>263</v>
      </c>
    </row>
    <row r="64" spans="1:4" ht="15" customHeight="1" x14ac:dyDescent="0.25">
      <c r="A64" s="44" t="s">
        <v>50</v>
      </c>
      <c r="B64" s="53" t="s">
        <v>193</v>
      </c>
      <c r="C64" s="44" t="s">
        <v>193</v>
      </c>
      <c r="D64" s="48" t="s">
        <v>264</v>
      </c>
    </row>
    <row r="65" spans="1:4" ht="15" customHeight="1" x14ac:dyDescent="0.25">
      <c r="A65" s="44" t="s">
        <v>265</v>
      </c>
      <c r="B65" s="47" t="str">
        <f>IF(B14="LoRA",IF(AND(ABS(Engine!F2-1.14917905095584)&lt;0.0000000001,ABS(Engine!F3-1.67089390376475)&lt;0.0000000001,ABS(Engine!F4-0.622950819672131)&lt;0.0000000001,ABS(Engine!F8-0.368421052631579)&lt;0.0000000001,ABS(B52-1.67483284219202)&lt;0.0000000001),"Python datum verified","CHECK DATUM"),"LoKr datum selected — verify against the worked LoKr run")</f>
        <v>Python datum verified</v>
      </c>
      <c r="C65" s="44" t="s">
        <v>266</v>
      </c>
      <c r="D65" s="48" t="s">
        <v>267</v>
      </c>
    </row>
    <row r="66" spans="1:4" ht="27.75" customHeight="1" x14ac:dyDescent="0.25">
      <c r="A66" s="44" t="s">
        <v>268</v>
      </c>
      <c r="B66" s="47" t="s">
        <v>269</v>
      </c>
      <c r="C66" s="44"/>
      <c r="D66" s="48"/>
    </row>
    <row r="67" spans="1:4" ht="95.25" customHeight="1" x14ac:dyDescent="0.25">
      <c r="A67" s="44" t="s">
        <v>270</v>
      </c>
      <c r="B67" s="47" t="s">
        <v>271</v>
      </c>
      <c r="C67" s="44"/>
      <c r="D67" s="48"/>
    </row>
  </sheetData>
  <mergeCells count="6">
    <mergeCell ref="A36:D36"/>
    <mergeCell ref="A1:D1"/>
    <mergeCell ref="A2:D2"/>
    <mergeCell ref="A5:D5"/>
    <mergeCell ref="A15:D15"/>
    <mergeCell ref="A28:D28"/>
  </mergeCells>
  <dataValidations count="11">
    <dataValidation type="whole" operator="greaterThanOrEqual" showInputMessage="1" showErrorMessage="1" errorTitle="Not allowed" error="Please pick or enter a value from the allowed range." promptTitle="Number of tracks" prompt="Songs in the calibration dataset." sqref="B9" xr:uid="{00000000-0002-0000-0100-000000000000}">
      <formula1>1</formula1>
      <formula2>0</formula2>
    </dataValidation>
    <dataValidation type="decimal" operator="greaterThan" showInputMessage="1" showErrorMessage="1" errorTitle="Not allowed" error="Please pick or enter a value from the allowed range." promptTitle="Total audio time" prompt="Minutes, all tracks combined." sqref="B10" xr:uid="{00000000-0002-0000-0100-000001000000}">
      <formula1>0</formula1>
      <formula2>0</formula2>
    </dataValidation>
    <dataValidation type="list" showInputMessage="1" showErrorMessage="1" errorTitle="Not allowed" error="Please pick or enter a value from the allowed range." promptTitle="Music complexity" prompt="Same 1-10 scale as the Calculator sheet." sqref="B11" xr:uid="{00000000-0002-0000-0100-000002000000}">
      <formula1>"1,2,3,4,5,6,7,8,9,10"</formula1>
      <formula2>0</formula2>
    </dataValidation>
    <dataValidation type="list" showInputMessage="1" showErrorMessage="1" errorTitle="Not allowed" error="Please pick or enter a value from the allowed range." promptTitle="Tag quality" prompt="Same 1-10 scale as the Calculator sheet." sqref="B12" xr:uid="{00000000-0002-0000-0100-000003000000}">
      <formula1>"1,2,3,4,5,6,7,8,9,10"</formula1>
      <formula2>0</formula2>
    </dataValidation>
    <dataValidation type="list" showInputMessage="1" showErrorMessage="1" errorTitle="Not allowed" error="Please pick or enter a value from the allowed range." promptTitle="Split into clips?" prompt="Yes if the songs were cut into clips." sqref="B13" xr:uid="{00000000-0002-0000-0100-000004000000}">
      <formula1>"Yes,No"</formula1>
      <formula2>0</formula2>
    </dataValidation>
    <dataValidation type="list" showInputMessage="1" showErrorMessage="1" errorTitle="Not allowed" error="Please pick or enter a value from the allowed range." promptTitle="Rank" prompt="Pick one of the valid ranks." sqref="B17" xr:uid="{00000000-0002-0000-0100-000005000000}">
      <formula1>"8,16,32,64,128,256"</formula1>
      <formula2>0</formula2>
    </dataValidation>
    <dataValidation type="list" showInputMessage="1" showErrorMessage="1" errorTitle="Not allowed" error="Please pick or enter a value from the allowed range." promptTitle="Decay shape" prompt="Cosine or Linear." sqref="B26" xr:uid="{00000000-0002-0000-0100-000006000000}">
      <formula1>"Cosine,Linear"</formula1>
      <formula2>0</formula2>
    </dataValidation>
    <dataValidation type="list" showInputMessage="1" showErrorMessage="1" errorTitle="Not allowed" error="Please pick or enter a value from the allowed range." promptTitle="Instruments verdict" prompt="For your records." sqref="B33" xr:uid="{00000000-0002-0000-0100-000007000000}">
      <formula1>"Good,Weak,Overcooked,NA"</formula1>
      <formula2>0</formula2>
    </dataValidation>
    <dataValidation type="list" showInputMessage="1" showErrorMessage="1" errorTitle="Not allowed" error="Please pick or enter a value from the allowed range." promptTitle="Vocals verdict" prompt="For your records." sqref="B34" xr:uid="{00000000-0002-0000-0100-000008000000}">
      <formula1>"Good,Weak,Overcooked,NA"</formula1>
      <formula2>0</formula2>
    </dataValidation>
    <dataValidation type="list" sqref="B14" xr:uid="{00000000-0002-0000-0100-000009000000}">
      <formula1>"LoRA,LoKr"</formula1>
      <formula2>0</formula2>
    </dataValidation>
    <dataValidation type="whole" sqref="B27" xr:uid="{00000000-0002-0000-0100-00000A000000}">
      <formula1>-1</formula1>
      <formula2>8</formula2>
    </dataValidation>
  </dataValidations>
  <pageMargins left="0.75" right="0.75" top="1" bottom="1" header="0.511811023622047" footer="0.511811023622047"/>
  <pageSetup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82F6"/>
    <pageSetUpPr fitToPage="1"/>
  </sheetPr>
  <dimension ref="A1:D56"/>
  <sheetViews>
    <sheetView showGridLines="0" zoomScaleNormal="100" workbookViewId="0">
      <pane ySplit="5" topLeftCell="A6" activePane="bottomLeft" state="frozen"/>
      <selection pane="bottomLeft"/>
    </sheetView>
  </sheetViews>
  <sheetFormatPr defaultColWidth="8.7109375" defaultRowHeight="15" customHeight="1" x14ac:dyDescent="0.25"/>
  <cols>
    <col min="1" max="1" width="34" style="15" customWidth="1"/>
    <col min="2" max="2" width="24" style="15" customWidth="1"/>
    <col min="3" max="3" width="30" style="15" customWidth="1"/>
    <col min="4" max="4" width="64" style="15" customWidth="1"/>
  </cols>
  <sheetData>
    <row r="1" spans="1:4" ht="36" customHeight="1" x14ac:dyDescent="0.25">
      <c r="A1" s="93" t="s">
        <v>272</v>
      </c>
      <c r="B1" s="93"/>
      <c r="C1" s="93"/>
      <c r="D1" s="93"/>
    </row>
    <row r="2" spans="1:4" ht="42" customHeight="1" x14ac:dyDescent="0.25">
      <c r="A2" s="43"/>
      <c r="B2" s="44"/>
      <c r="C2" s="44"/>
      <c r="D2" s="44"/>
    </row>
    <row r="3" spans="1:4" ht="21.75" customHeight="1" x14ac:dyDescent="0.25">
      <c r="A3" s="98" t="s">
        <v>273</v>
      </c>
      <c r="B3" s="98"/>
      <c r="C3" s="98"/>
      <c r="D3" s="98"/>
    </row>
    <row r="4" spans="1:4" ht="19.5" customHeight="1" x14ac:dyDescent="0.25">
      <c r="A4" s="46" t="s">
        <v>274</v>
      </c>
      <c r="B4" s="46" t="s">
        <v>275</v>
      </c>
      <c r="C4" s="46" t="s">
        <v>115</v>
      </c>
      <c r="D4" s="46"/>
    </row>
    <row r="5" spans="1:4" ht="18" customHeight="1" x14ac:dyDescent="0.25">
      <c r="A5" s="44">
        <v>1</v>
      </c>
      <c r="B5" s="44" t="s">
        <v>276</v>
      </c>
      <c r="C5" s="65">
        <f t="shared" ref="C5:C14" si="0">0.6+(A5-1)/9</f>
        <v>0.6</v>
      </c>
      <c r="D5" s="44"/>
    </row>
    <row r="6" spans="1:4" ht="28.5" customHeight="1" x14ac:dyDescent="0.25">
      <c r="A6" s="44">
        <v>2</v>
      </c>
      <c r="B6" s="44" t="s">
        <v>277</v>
      </c>
      <c r="C6" s="65">
        <f t="shared" si="0"/>
        <v>0.71111111111111103</v>
      </c>
      <c r="D6" s="44"/>
    </row>
    <row r="7" spans="1:4" ht="18" customHeight="1" x14ac:dyDescent="0.25">
      <c r="A7" s="44">
        <v>3</v>
      </c>
      <c r="B7" s="44" t="s">
        <v>278</v>
      </c>
      <c r="C7" s="65">
        <f t="shared" si="0"/>
        <v>0.82222222222222219</v>
      </c>
      <c r="D7" s="44"/>
    </row>
    <row r="8" spans="1:4" ht="18" customHeight="1" x14ac:dyDescent="0.25">
      <c r="A8" s="44">
        <v>4</v>
      </c>
      <c r="B8" s="44" t="s">
        <v>279</v>
      </c>
      <c r="C8" s="65">
        <f t="shared" si="0"/>
        <v>0.93333333333333335</v>
      </c>
      <c r="D8" s="44"/>
    </row>
    <row r="9" spans="1:4" ht="28.5" customHeight="1" x14ac:dyDescent="0.25">
      <c r="A9" s="44">
        <v>5</v>
      </c>
      <c r="B9" s="44" t="s">
        <v>280</v>
      </c>
      <c r="C9" s="65">
        <f t="shared" si="0"/>
        <v>1.0444444444444443</v>
      </c>
      <c r="D9" s="44"/>
    </row>
    <row r="10" spans="1:4" ht="18" customHeight="1" x14ac:dyDescent="0.25">
      <c r="A10" s="44">
        <v>6</v>
      </c>
      <c r="B10" s="44" t="s">
        <v>281</v>
      </c>
      <c r="C10" s="65">
        <f t="shared" si="0"/>
        <v>1.1555555555555554</v>
      </c>
      <c r="D10" s="44"/>
    </row>
    <row r="11" spans="1:4" ht="28.5" customHeight="1" x14ac:dyDescent="0.25">
      <c r="A11" s="44">
        <v>7</v>
      </c>
      <c r="B11" s="44" t="s">
        <v>282</v>
      </c>
      <c r="C11" s="65">
        <f t="shared" si="0"/>
        <v>1.2666666666666666</v>
      </c>
      <c r="D11" s="44"/>
    </row>
    <row r="12" spans="1:4" ht="18" customHeight="1" x14ac:dyDescent="0.25">
      <c r="A12" s="44">
        <v>8</v>
      </c>
      <c r="B12" s="44" t="s">
        <v>283</v>
      </c>
      <c r="C12" s="65">
        <f t="shared" si="0"/>
        <v>1.3777777777777778</v>
      </c>
      <c r="D12" s="44"/>
    </row>
    <row r="13" spans="1:4" ht="18" customHeight="1" x14ac:dyDescent="0.25">
      <c r="A13" s="44">
        <v>9</v>
      </c>
      <c r="B13" s="44" t="s">
        <v>284</v>
      </c>
      <c r="C13" s="65">
        <f t="shared" si="0"/>
        <v>1.4888888888888889</v>
      </c>
      <c r="D13" s="44"/>
    </row>
    <row r="14" spans="1:4" ht="28.5" customHeight="1" x14ac:dyDescent="0.25">
      <c r="A14" s="44">
        <v>10</v>
      </c>
      <c r="B14" s="44" t="s">
        <v>285</v>
      </c>
      <c r="C14" s="65">
        <f t="shared" si="0"/>
        <v>1.6</v>
      </c>
      <c r="D14" s="44"/>
    </row>
    <row r="15" spans="1:4" ht="15" customHeight="1" x14ac:dyDescent="0.25">
      <c r="A15" s="44"/>
      <c r="B15" s="44"/>
      <c r="C15" s="44"/>
      <c r="D15" s="44"/>
    </row>
    <row r="16" spans="1:4" ht="21.75" customHeight="1" x14ac:dyDescent="0.25">
      <c r="A16" s="98" t="s">
        <v>286</v>
      </c>
      <c r="B16" s="98"/>
      <c r="C16" s="98"/>
      <c r="D16" s="98"/>
    </row>
    <row r="17" spans="1:4" ht="19.5" customHeight="1" x14ac:dyDescent="0.25">
      <c r="A17" s="46" t="s">
        <v>274</v>
      </c>
      <c r="B17" s="46" t="s">
        <v>287</v>
      </c>
      <c r="C17" s="46" t="s">
        <v>136</v>
      </c>
      <c r="D17" s="46" t="s">
        <v>288</v>
      </c>
    </row>
    <row r="18" spans="1:4" ht="18" customHeight="1" x14ac:dyDescent="0.25">
      <c r="A18" s="44">
        <v>1</v>
      </c>
      <c r="B18" s="44" t="s">
        <v>289</v>
      </c>
      <c r="C18" s="65">
        <f t="shared" ref="C18:C27" si="1">0.8+0.5*(A18-1)/9</f>
        <v>0.8</v>
      </c>
      <c r="D18" s="66">
        <f t="shared" ref="D18:D27" si="2">ROUND(4+24*(A18-1)/9,0)</f>
        <v>4</v>
      </c>
    </row>
    <row r="19" spans="1:4" ht="18" customHeight="1" x14ac:dyDescent="0.25">
      <c r="A19" s="44">
        <v>2</v>
      </c>
      <c r="B19" s="44" t="s">
        <v>290</v>
      </c>
      <c r="C19" s="65">
        <f t="shared" si="1"/>
        <v>0.85555555555555562</v>
      </c>
      <c r="D19" s="66">
        <f t="shared" si="2"/>
        <v>7</v>
      </c>
    </row>
    <row r="20" spans="1:4" ht="18" customHeight="1" x14ac:dyDescent="0.25">
      <c r="A20" s="44">
        <v>3</v>
      </c>
      <c r="B20" s="44" t="s">
        <v>291</v>
      </c>
      <c r="C20" s="65">
        <f t="shared" si="1"/>
        <v>0.9111111111111112</v>
      </c>
      <c r="D20" s="66">
        <f t="shared" si="2"/>
        <v>9</v>
      </c>
    </row>
    <row r="21" spans="1:4" ht="18" customHeight="1" x14ac:dyDescent="0.25">
      <c r="A21" s="44">
        <v>4</v>
      </c>
      <c r="B21" s="44" t="s">
        <v>292</v>
      </c>
      <c r="C21" s="65">
        <f t="shared" si="1"/>
        <v>0.96666666666666667</v>
      </c>
      <c r="D21" s="66">
        <f t="shared" si="2"/>
        <v>12</v>
      </c>
    </row>
    <row r="22" spans="1:4" ht="18" customHeight="1" x14ac:dyDescent="0.25">
      <c r="A22" s="44">
        <v>5</v>
      </c>
      <c r="B22" s="44" t="s">
        <v>293</v>
      </c>
      <c r="C22" s="65">
        <f t="shared" si="1"/>
        <v>1.0222222222222221</v>
      </c>
      <c r="D22" s="66">
        <f t="shared" si="2"/>
        <v>15</v>
      </c>
    </row>
    <row r="23" spans="1:4" ht="18" customHeight="1" x14ac:dyDescent="0.25">
      <c r="A23" s="44">
        <v>6</v>
      </c>
      <c r="B23" s="44" t="s">
        <v>294</v>
      </c>
      <c r="C23" s="65">
        <f t="shared" si="1"/>
        <v>1.0777777777777779</v>
      </c>
      <c r="D23" s="66">
        <f t="shared" si="2"/>
        <v>17</v>
      </c>
    </row>
    <row r="24" spans="1:4" ht="18" customHeight="1" x14ac:dyDescent="0.25">
      <c r="A24" s="44">
        <v>7</v>
      </c>
      <c r="B24" s="44" t="s">
        <v>295</v>
      </c>
      <c r="C24" s="65">
        <f t="shared" si="1"/>
        <v>1.1333333333333333</v>
      </c>
      <c r="D24" s="66">
        <f t="shared" si="2"/>
        <v>20</v>
      </c>
    </row>
    <row r="25" spans="1:4" ht="18" customHeight="1" x14ac:dyDescent="0.25">
      <c r="A25" s="44">
        <v>8</v>
      </c>
      <c r="B25" s="44" t="s">
        <v>296</v>
      </c>
      <c r="C25" s="65">
        <f t="shared" si="1"/>
        <v>1.1888888888888889</v>
      </c>
      <c r="D25" s="66">
        <f t="shared" si="2"/>
        <v>23</v>
      </c>
    </row>
    <row r="26" spans="1:4" ht="18" customHeight="1" x14ac:dyDescent="0.25">
      <c r="A26" s="44">
        <v>9</v>
      </c>
      <c r="B26" s="44" t="s">
        <v>297</v>
      </c>
      <c r="C26" s="65">
        <f t="shared" si="1"/>
        <v>1.2444444444444445</v>
      </c>
      <c r="D26" s="66">
        <f t="shared" si="2"/>
        <v>25</v>
      </c>
    </row>
    <row r="27" spans="1:4" ht="28.5" customHeight="1" x14ac:dyDescent="0.25">
      <c r="A27" s="44">
        <v>10</v>
      </c>
      <c r="B27" s="44" t="s">
        <v>298</v>
      </c>
      <c r="C27" s="65">
        <f t="shared" si="1"/>
        <v>1.3</v>
      </c>
      <c r="D27" s="66">
        <f t="shared" si="2"/>
        <v>28</v>
      </c>
    </row>
    <row r="28" spans="1:4" ht="39.75" customHeight="1" x14ac:dyDescent="0.25">
      <c r="A28" s="99" t="s">
        <v>299</v>
      </c>
      <c r="B28" s="99"/>
      <c r="C28" s="99"/>
      <c r="D28" s="99"/>
    </row>
    <row r="29" spans="1:4" ht="15" customHeight="1" x14ac:dyDescent="0.25">
      <c r="A29" s="44"/>
      <c r="B29" s="44"/>
      <c r="C29" s="44"/>
      <c r="D29" s="44"/>
    </row>
    <row r="30" spans="1:4" ht="21.75" customHeight="1" x14ac:dyDescent="0.25">
      <c r="A30" s="100" t="s">
        <v>300</v>
      </c>
      <c r="B30" s="100"/>
      <c r="C30" s="100"/>
      <c r="D30" s="100"/>
    </row>
    <row r="31" spans="1:4" ht="19.5" customHeight="1" x14ac:dyDescent="0.25">
      <c r="A31" s="46" t="s">
        <v>9</v>
      </c>
      <c r="B31" s="46" t="s">
        <v>301</v>
      </c>
      <c r="C31" s="46"/>
      <c r="D31" s="46"/>
    </row>
    <row r="32" spans="1:4" ht="18" customHeight="1" x14ac:dyDescent="0.25">
      <c r="A32" s="44" t="s">
        <v>38</v>
      </c>
      <c r="B32" s="99" t="s">
        <v>302</v>
      </c>
      <c r="C32" s="99"/>
      <c r="D32" s="99"/>
    </row>
    <row r="33" spans="1:4" ht="18" customHeight="1" x14ac:dyDescent="0.25">
      <c r="A33" s="44" t="s">
        <v>303</v>
      </c>
      <c r="B33" s="99" t="s">
        <v>304</v>
      </c>
      <c r="C33" s="99"/>
      <c r="D33" s="99"/>
    </row>
    <row r="34" spans="1:4" ht="18" customHeight="1" x14ac:dyDescent="0.25">
      <c r="A34" s="44" t="s">
        <v>40</v>
      </c>
      <c r="B34" s="99" t="s">
        <v>305</v>
      </c>
      <c r="C34" s="99"/>
      <c r="D34" s="99"/>
    </row>
    <row r="35" spans="1:4" ht="28.5" customHeight="1" x14ac:dyDescent="0.25">
      <c r="A35" s="44" t="s">
        <v>48</v>
      </c>
      <c r="B35" s="99" t="s">
        <v>306</v>
      </c>
      <c r="C35" s="99"/>
      <c r="D35" s="99"/>
    </row>
    <row r="36" spans="1:4" ht="18" customHeight="1" x14ac:dyDescent="0.25">
      <c r="A36" s="44" t="s">
        <v>307</v>
      </c>
      <c r="B36" s="99" t="s">
        <v>308</v>
      </c>
      <c r="C36" s="99"/>
      <c r="D36" s="99"/>
    </row>
    <row r="37" spans="1:4" ht="18" customHeight="1" x14ac:dyDescent="0.25">
      <c r="A37" s="44" t="s">
        <v>309</v>
      </c>
      <c r="B37" s="99" t="s">
        <v>310</v>
      </c>
      <c r="C37" s="99"/>
      <c r="D37" s="99"/>
    </row>
    <row r="38" spans="1:4" ht="18" customHeight="1" x14ac:dyDescent="0.25">
      <c r="A38" s="67" t="s">
        <v>311</v>
      </c>
      <c r="B38" s="99" t="s">
        <v>312</v>
      </c>
      <c r="C38" s="99"/>
      <c r="D38" s="99"/>
    </row>
    <row r="39" spans="1:4" ht="18" customHeight="1" x14ac:dyDescent="0.25">
      <c r="A39" s="68" t="s">
        <v>313</v>
      </c>
      <c r="B39" s="99" t="s">
        <v>314</v>
      </c>
      <c r="C39" s="99"/>
      <c r="D39" s="99"/>
    </row>
    <row r="40" spans="1:4" ht="28.5" customHeight="1" x14ac:dyDescent="0.25">
      <c r="A40" s="68" t="s">
        <v>315</v>
      </c>
      <c r="B40" s="99" t="s">
        <v>316</v>
      </c>
      <c r="C40" s="99"/>
      <c r="D40" s="99"/>
    </row>
    <row r="41" spans="1:4" ht="18" customHeight="1" x14ac:dyDescent="0.25">
      <c r="A41" s="68" t="s">
        <v>317</v>
      </c>
      <c r="B41" s="99" t="s">
        <v>318</v>
      </c>
      <c r="C41" s="99"/>
      <c r="D41" s="99"/>
    </row>
    <row r="42" spans="1:4" ht="18" customHeight="1" x14ac:dyDescent="0.25">
      <c r="A42" s="68" t="s">
        <v>319</v>
      </c>
      <c r="B42" s="99" t="s">
        <v>320</v>
      </c>
      <c r="C42" s="99"/>
      <c r="D42" s="99"/>
    </row>
    <row r="43" spans="1:4" ht="28.5" customHeight="1" x14ac:dyDescent="0.25">
      <c r="A43" s="68" t="s">
        <v>321</v>
      </c>
      <c r="B43" s="99" t="s">
        <v>322</v>
      </c>
      <c r="C43" s="99"/>
      <c r="D43" s="99"/>
    </row>
    <row r="44" spans="1:4" ht="15" customHeight="1" x14ac:dyDescent="0.25">
      <c r="A44" s="51" t="s">
        <v>323</v>
      </c>
      <c r="B44" s="44"/>
      <c r="C44" s="44"/>
      <c r="D44" s="44"/>
    </row>
    <row r="45" spans="1:4" ht="21.75" customHeight="1" x14ac:dyDescent="0.25">
      <c r="A45" s="101" t="s">
        <v>324</v>
      </c>
      <c r="B45" s="101"/>
      <c r="C45" s="101"/>
      <c r="D45" s="101"/>
    </row>
    <row r="46" spans="1:4" ht="18" customHeight="1" x14ac:dyDescent="0.25">
      <c r="A46" s="102" t="s">
        <v>325</v>
      </c>
      <c r="B46" s="102"/>
      <c r="C46" s="102"/>
      <c r="D46" s="102"/>
    </row>
    <row r="47" spans="1:4" ht="18" customHeight="1" x14ac:dyDescent="0.25">
      <c r="A47" s="99" t="s">
        <v>326</v>
      </c>
      <c r="B47" s="99"/>
      <c r="C47" s="99"/>
      <c r="D47" s="99"/>
    </row>
    <row r="48" spans="1:4" ht="18" customHeight="1" x14ac:dyDescent="0.25">
      <c r="A48" s="99" t="s">
        <v>327</v>
      </c>
      <c r="B48" s="99"/>
      <c r="C48" s="99"/>
      <c r="D48" s="99"/>
    </row>
    <row r="49" spans="1:4" ht="28.5" customHeight="1" x14ac:dyDescent="0.25">
      <c r="A49" s="99" t="s">
        <v>328</v>
      </c>
      <c r="B49" s="99"/>
      <c r="C49" s="99"/>
      <c r="D49" s="99"/>
    </row>
    <row r="50" spans="1:4" ht="28.5" customHeight="1" x14ac:dyDescent="0.25">
      <c r="A50" s="99" t="s">
        <v>329</v>
      </c>
      <c r="B50" s="99"/>
      <c r="C50" s="99"/>
      <c r="D50" s="99"/>
    </row>
    <row r="52" spans="1:4" ht="17.25" customHeight="1" x14ac:dyDescent="0.25">
      <c r="A52" s="69" t="s">
        <v>330</v>
      </c>
    </row>
    <row r="53" spans="1:4" ht="15" customHeight="1" x14ac:dyDescent="0.25">
      <c r="A53" s="15" t="s">
        <v>331</v>
      </c>
      <c r="B53" s="15" t="s">
        <v>332</v>
      </c>
    </row>
    <row r="54" spans="1:4" ht="15" customHeight="1" x14ac:dyDescent="0.25">
      <c r="A54" s="15" t="s">
        <v>136</v>
      </c>
      <c r="B54" s="15" t="s">
        <v>333</v>
      </c>
    </row>
    <row r="55" spans="1:4" ht="15" customHeight="1" x14ac:dyDescent="0.25">
      <c r="A55" s="15" t="s">
        <v>334</v>
      </c>
      <c r="B55" s="15" t="s">
        <v>335</v>
      </c>
    </row>
    <row r="56" spans="1:4" ht="15" customHeight="1" x14ac:dyDescent="0.25">
      <c r="A56" s="15" t="s">
        <v>336</v>
      </c>
      <c r="B56" s="15" t="s">
        <v>337</v>
      </c>
    </row>
  </sheetData>
  <mergeCells count="23">
    <mergeCell ref="A48:D48"/>
    <mergeCell ref="A49:D49"/>
    <mergeCell ref="A50:D50"/>
    <mergeCell ref="B42:D42"/>
    <mergeCell ref="B43:D43"/>
    <mergeCell ref="A45:D45"/>
    <mergeCell ref="A46:D46"/>
    <mergeCell ref="A47:D47"/>
    <mergeCell ref="B37:D37"/>
    <mergeCell ref="B38:D38"/>
    <mergeCell ref="B39:D39"/>
    <mergeCell ref="B40:D40"/>
    <mergeCell ref="B41:D41"/>
    <mergeCell ref="B32:D32"/>
    <mergeCell ref="B33:D33"/>
    <mergeCell ref="B34:D34"/>
    <mergeCell ref="B35:D35"/>
    <mergeCell ref="B36:D36"/>
    <mergeCell ref="A1:D1"/>
    <mergeCell ref="A3:D3"/>
    <mergeCell ref="A16:D16"/>
    <mergeCell ref="A28:D28"/>
    <mergeCell ref="A30:D30"/>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4748B"/>
    <pageSetUpPr fitToPage="1"/>
  </sheetPr>
  <dimension ref="A1:G55"/>
  <sheetViews>
    <sheetView showGridLines="0" zoomScaleNormal="100" workbookViewId="0">
      <pane ySplit="3" topLeftCell="A4" activePane="bottomLeft" state="frozen"/>
      <selection pane="bottomLeft"/>
    </sheetView>
  </sheetViews>
  <sheetFormatPr defaultColWidth="8.7109375" defaultRowHeight="15" customHeight="1" x14ac:dyDescent="0.25"/>
  <cols>
    <col min="1" max="1" width="36" style="15" customWidth="1"/>
    <col min="2" max="3" width="54" style="15" customWidth="1"/>
    <col min="4" max="4" width="64" style="15" customWidth="1"/>
    <col min="5" max="7" width="13" style="15" hidden="1" customWidth="1"/>
  </cols>
  <sheetData>
    <row r="1" spans="1:6" ht="36" customHeight="1" x14ac:dyDescent="0.25">
      <c r="A1" s="93" t="s">
        <v>338</v>
      </c>
      <c r="B1" s="93"/>
      <c r="C1" s="93"/>
      <c r="D1" s="93"/>
      <c r="E1" s="15" t="s">
        <v>215</v>
      </c>
      <c r="F1" s="15" t="s">
        <v>339</v>
      </c>
    </row>
    <row r="2" spans="1:6" ht="42" customHeight="1" x14ac:dyDescent="0.25">
      <c r="A2" s="94" t="s">
        <v>340</v>
      </c>
      <c r="B2" s="94"/>
      <c r="C2" s="94"/>
      <c r="D2" s="94"/>
      <c r="E2" s="15">
        <f>Calibration!B37</f>
        <v>6.0913049138667003E-5</v>
      </c>
      <c r="F2" s="15">
        <f>IF(Calibration!B14=Calculator!B18,IF(Calculator!B18="LoKr",IFERROR(Calibration!B21/0.03,1),IFERROR(Calibration!B45/Calibration!B37,1)),1)</f>
        <v>1.1491790509558433</v>
      </c>
    </row>
    <row r="3" spans="1:6" ht="19.5" customHeight="1" x14ac:dyDescent="0.25">
      <c r="A3" s="46" t="s">
        <v>130</v>
      </c>
      <c r="B3" s="70" t="s">
        <v>341</v>
      </c>
      <c r="C3" s="46" t="s">
        <v>342</v>
      </c>
      <c r="D3" s="46" t="s">
        <v>131</v>
      </c>
      <c r="E3" s="15" t="s">
        <v>343</v>
      </c>
      <c r="F3" s="15">
        <f>IF(Calibration!B14=Calculator!B18,IF(Calculator!B18="LoKr",IFERROR(Calibration!B17/64,1),IFERROR(Calibration!B46/Calibration!B38,1)),1)</f>
        <v>1.6708939037647501</v>
      </c>
    </row>
    <row r="4" spans="1:6" ht="15" customHeight="1" x14ac:dyDescent="0.25">
      <c r="A4" s="44" t="s">
        <v>13</v>
      </c>
      <c r="B4" s="71">
        <f>Calculator!B7</f>
        <v>10</v>
      </c>
      <c r="C4" s="66">
        <f>Calibration!B9</f>
        <v>10</v>
      </c>
      <c r="D4" s="44" t="s">
        <v>9</v>
      </c>
      <c r="E4" s="15">
        <f>IF(Calibration!B14=Calculator!B18,Calibration!B37,"")</f>
        <v>6.0913049138667003E-5</v>
      </c>
      <c r="F4" s="15">
        <f>IF(Calibration!B14=Calculator!B18,IF(Calculator!B18="LoKr",IFERROR(Calibration!B20/500,1),IFERROR(Calibration!B43/(Calibration!B39/0.6),1)),1)</f>
        <v>0.62295081967213117</v>
      </c>
    </row>
    <row r="5" spans="1:6" ht="15" customHeight="1" x14ac:dyDescent="0.25">
      <c r="A5" s="44" t="s">
        <v>344</v>
      </c>
      <c r="B5" s="72">
        <f>Calculator!B8</f>
        <v>63.749337847222201</v>
      </c>
      <c r="C5" s="73">
        <f>Calibration!B10</f>
        <v>63.749337847222201</v>
      </c>
      <c r="D5" s="44" t="s">
        <v>9</v>
      </c>
      <c r="E5" s="15">
        <f>IF(Calibration!B14=Calculator!B18,Calibration!B38,"")</f>
        <v>38.302850860727503</v>
      </c>
      <c r="F5" s="15">
        <f>IF(Calibration!B14=Calculator!B18,IFERROR(Calibration!B48/Calibration!B40,1),1)</f>
        <v>1</v>
      </c>
    </row>
    <row r="6" spans="1:6" ht="15" customHeight="1" x14ac:dyDescent="0.25">
      <c r="A6" s="44" t="s">
        <v>345</v>
      </c>
      <c r="B6" s="71">
        <f>Calculator!B9</f>
        <v>8</v>
      </c>
      <c r="C6" s="66">
        <f>Calibration!B11</f>
        <v>10</v>
      </c>
      <c r="D6" s="44" t="s">
        <v>346</v>
      </c>
      <c r="E6" s="15">
        <f>IF(Calibration!B14=Calculator!B18,Calibration!B39,"")</f>
        <v>366</v>
      </c>
      <c r="F6" s="15">
        <f>IF(Calibration!B14=Calculator!B18,IFERROR(Calibration!B49/Calibration!B41,1),1)</f>
        <v>1</v>
      </c>
    </row>
    <row r="7" spans="1:6" ht="15" customHeight="1" x14ac:dyDescent="0.25">
      <c r="A7" s="44" t="s">
        <v>347</v>
      </c>
      <c r="B7" s="71">
        <f>Calculator!B10</f>
        <v>8</v>
      </c>
      <c r="C7" s="66">
        <f>Calibration!B12</f>
        <v>10</v>
      </c>
      <c r="D7" s="44" t="s">
        <v>346</v>
      </c>
      <c r="E7" s="15">
        <f>IF(Calibration!B14=Calculator!B18,Calibration!B40,"")</f>
        <v>0.12</v>
      </c>
      <c r="F7" s="15">
        <f>IF(Calibration!B14=Calculator!B18,IFERROR(Calibration!B50-Calibration!B42,0),0)</f>
        <v>0</v>
      </c>
    </row>
    <row r="8" spans="1:6" ht="15" customHeight="1" x14ac:dyDescent="0.25">
      <c r="A8" s="44" t="s">
        <v>348</v>
      </c>
      <c r="B8" s="68" t="str">
        <f>Calculator!B11</f>
        <v>No</v>
      </c>
      <c r="C8" s="44" t="str">
        <f>Calibration!B13</f>
        <v>No</v>
      </c>
      <c r="D8" s="44" t="s">
        <v>349</v>
      </c>
      <c r="E8" s="15">
        <f>IF(Calibration!B14=Calculator!B18,Calibration!B41,"")</f>
        <v>0.47</v>
      </c>
      <c r="F8" s="15">
        <f>IF(Calibration!B14=Calculator!B18,IFERROR(Calibration!B44/Calibration!B43,0.4),0.4)</f>
        <v>0.36842105263157893</v>
      </c>
    </row>
    <row r="9" spans="1:6" ht="15" customHeight="1" x14ac:dyDescent="0.25">
      <c r="A9" s="44" t="s">
        <v>115</v>
      </c>
      <c r="B9" s="74">
        <f>IF(ISNUMBER(Calculator!G12),Calculator!G12,0.6+(B6-1)/9)</f>
        <v>1.28833295553232</v>
      </c>
      <c r="C9" s="75">
        <f>Calibration!B51</f>
        <v>1.28833295553232</v>
      </c>
      <c r="D9" s="44" t="s">
        <v>350</v>
      </c>
      <c r="E9" s="15">
        <f>IF(Calibration!B14=Calculator!B18,Calibration!B47,"")</f>
        <v>64</v>
      </c>
      <c r="F9" s="15">
        <f>IF(Calibration!B14=Calculator!B18,IF(Calculator!B18="LoKr",IFERROR(Calibration!B18/128,1),IFERROR(Calibration!B47/Calibration!B46,1)),1)</f>
        <v>1</v>
      </c>
    </row>
    <row r="10" spans="1:6" ht="15" customHeight="1" x14ac:dyDescent="0.25">
      <c r="A10" s="44" t="s">
        <v>351</v>
      </c>
      <c r="B10" s="74">
        <f>IF(ISNUMBER(Calculator!B12),0.8+0.5*MAX(0,MIN((Calculator!B12-4)/24,1)),0.8+0.5*(B7-1)/9)</f>
        <v>1.3</v>
      </c>
      <c r="C10" s="75">
        <f>IF(ISNUMBER(Calibration!B25),0.8+0.5*MAX(0,MIN((Calibration!B25-4)/24,1)),0.8+0.5*(C7-1)/9)</f>
        <v>1.3</v>
      </c>
      <c r="D10" s="44" t="s">
        <v>352</v>
      </c>
      <c r="E10" s="15">
        <f>IF(Calibration!B14=Calculator!B18,Calibration!B46,"")</f>
        <v>64</v>
      </c>
    </row>
    <row r="11" spans="1:6" ht="15" customHeight="1" x14ac:dyDescent="0.25">
      <c r="A11" s="44" t="s">
        <v>353</v>
      </c>
      <c r="B11" s="74">
        <f>B9*B10</f>
        <v>1.674832842192016</v>
      </c>
      <c r="C11" s="75">
        <f>C9*C10</f>
        <v>1.674832842192016</v>
      </c>
      <c r="D11" s="44" t="s">
        <v>354</v>
      </c>
      <c r="E11" s="15">
        <f>IF(Calibration!B14=Calculator!B18,Calibration!B43,"")</f>
        <v>380</v>
      </c>
    </row>
    <row r="12" spans="1:6" ht="15" customHeight="1" x14ac:dyDescent="0.25">
      <c r="A12" s="44" t="s">
        <v>355</v>
      </c>
      <c r="B12" s="74">
        <f>(B6-1)/9</f>
        <v>0.77777777777777779</v>
      </c>
      <c r="C12" s="75">
        <f>(C6-1)/9</f>
        <v>1</v>
      </c>
      <c r="D12" s="44" t="s">
        <v>356</v>
      </c>
      <c r="E12" s="15">
        <f>IF(Calibration!B14=Calculator!B18,Calibration!B48,"")</f>
        <v>0.12</v>
      </c>
    </row>
    <row r="13" spans="1:6" ht="15" customHeight="1" x14ac:dyDescent="0.25">
      <c r="A13" s="44" t="s">
        <v>357</v>
      </c>
      <c r="B13" s="74">
        <f>MAX(0.05,B5/60)</f>
        <v>1.0624889641203701</v>
      </c>
      <c r="C13" s="75">
        <f>MAX(0.05,C5/60)</f>
        <v>1.0624889641203701</v>
      </c>
      <c r="D13" s="44" t="s">
        <v>358</v>
      </c>
      <c r="E13" s="15">
        <f>IF(Calibration!B14=Calculator!B18,Calibration!B49,"")</f>
        <v>0.47</v>
      </c>
    </row>
    <row r="14" spans="1:6" ht="15" customHeight="1" x14ac:dyDescent="0.25">
      <c r="A14" s="44" t="s">
        <v>359</v>
      </c>
      <c r="B14" s="72">
        <f>500</f>
        <v>500</v>
      </c>
      <c r="C14" s="73">
        <f>150+130*LN(MAX(2,C4)*C11*(1+0.2*LN(1+C13)))</f>
        <v>533.95672807814162</v>
      </c>
      <c r="D14" s="44" t="s">
        <v>360</v>
      </c>
      <c r="E14" s="15">
        <v>0.5</v>
      </c>
    </row>
    <row r="15" spans="1:6" ht="15" customHeight="1" x14ac:dyDescent="0.25">
      <c r="A15" s="44" t="s">
        <v>361</v>
      </c>
      <c r="B15" s="71">
        <f>0.03</f>
        <v>0.03</v>
      </c>
      <c r="C15" s="66">
        <v>610</v>
      </c>
      <c r="D15" s="44" t="s">
        <v>362</v>
      </c>
      <c r="E15" s="15" t="str">
        <f>IF(Calibration!B14=Calculator!B18,Calibration!B64,"")</f>
        <v>Cosine</v>
      </c>
    </row>
    <row r="16" spans="1:6" ht="15" customHeight="1" x14ac:dyDescent="0.25">
      <c r="A16" s="44" t="s">
        <v>123</v>
      </c>
      <c r="B16" s="74">
        <f>1/(1+EXP(-(B4-35)/12))</f>
        <v>0.11072731797236822</v>
      </c>
      <c r="C16" s="75">
        <f>1/(1+EXP(-(C4-35)/12))</f>
        <v>0.11072731797236822</v>
      </c>
      <c r="D16" s="44" t="s">
        <v>363</v>
      </c>
      <c r="E16" s="15">
        <v>1.67483284219202</v>
      </c>
    </row>
    <row r="17" spans="1:5" ht="15" customHeight="1" x14ac:dyDescent="0.25">
      <c r="A17" s="44" t="s">
        <v>364</v>
      </c>
      <c r="B17" s="76">
        <f>64</f>
        <v>64</v>
      </c>
      <c r="C17" s="77">
        <v>6.0913049138667003E-5</v>
      </c>
      <c r="D17" s="44" t="s">
        <v>365</v>
      </c>
      <c r="E17" s="15">
        <v>610</v>
      </c>
    </row>
    <row r="18" spans="1:5" ht="15" customHeight="1" x14ac:dyDescent="0.25">
      <c r="A18" s="44" t="s">
        <v>366</v>
      </c>
      <c r="B18" s="74">
        <f>128</f>
        <v>128</v>
      </c>
      <c r="C18" s="75">
        <f>LOG(MAX(2,C4/3),2)</f>
        <v>1.7369655941662063</v>
      </c>
      <c r="D18" s="44" t="s">
        <v>367</v>
      </c>
    </row>
    <row r="19" spans="1:5" ht="15" customHeight="1" x14ac:dyDescent="0.25">
      <c r="A19" s="44" t="s">
        <v>126</v>
      </c>
      <c r="B19" s="72">
        <f>IF(Calculator!B18="LoKr",IF(B30=1,Calibration!B27,-1),-1)</f>
        <v>-1</v>
      </c>
      <c r="C19" s="73">
        <f>(5.5+10*C18)*C11</f>
        <v>38.302850860727403</v>
      </c>
      <c r="D19" s="44" t="s">
        <v>368</v>
      </c>
    </row>
    <row r="20" spans="1:5" ht="15" customHeight="1" x14ac:dyDescent="0.25">
      <c r="A20" s="44" t="s">
        <v>369</v>
      </c>
      <c r="B20" s="72">
        <f>4</f>
        <v>4</v>
      </c>
      <c r="C20" s="73">
        <f>MAX(32,MIN(256,16*LOG(MAX(2,C4),2)))</f>
        <v>53.150849518197802</v>
      </c>
      <c r="D20" s="44" t="s">
        <v>370</v>
      </c>
    </row>
    <row r="21" spans="1:5" ht="15" customHeight="1" x14ac:dyDescent="0.25">
      <c r="A21" s="44" t="s">
        <v>371</v>
      </c>
      <c r="B21" s="72">
        <f>MAX(32,MIN(256,16*LOG(MAX(2,B4),2)))</f>
        <v>53.150849518197802</v>
      </c>
      <c r="C21" s="73">
        <v>38.302850860727503</v>
      </c>
      <c r="D21" s="44" t="s">
        <v>372</v>
      </c>
    </row>
    <row r="22" spans="1:5" ht="15" customHeight="1" x14ac:dyDescent="0.25">
      <c r="A22" s="44" t="s">
        <v>373</v>
      </c>
      <c r="B22" s="78">
        <f>150+130*LN(MAX(2,B4)*B11*(1+0.2*LN(1+B13)))</f>
        <v>533.95672807814162</v>
      </c>
      <c r="C22" s="65">
        <v>0.47</v>
      </c>
      <c r="D22" s="44" t="s">
        <v>374</v>
      </c>
    </row>
    <row r="23" spans="1:5" ht="15" customHeight="1" x14ac:dyDescent="0.25">
      <c r="A23" s="44" t="s">
        <v>375</v>
      </c>
      <c r="B23" s="78">
        <f>ROUND(B22*1.15/10,0)*10</f>
        <v>610</v>
      </c>
      <c r="C23" s="65">
        <v>0.12</v>
      </c>
      <c r="D23" s="44" t="s">
        <v>376</v>
      </c>
    </row>
    <row r="24" spans="1:5" ht="15" customHeight="1" x14ac:dyDescent="0.25">
      <c r="A24" s="44" t="s">
        <v>377</v>
      </c>
      <c r="B24" s="78">
        <f>(0.000028+0.000062*B16)*SQRT(B11)*1.35</f>
        <v>6.0913049138666922E-5</v>
      </c>
      <c r="C24" s="65">
        <v>0.5</v>
      </c>
      <c r="D24" s="44" t="s">
        <v>378</v>
      </c>
    </row>
    <row r="25" spans="1:5" ht="15" customHeight="1" x14ac:dyDescent="0.25">
      <c r="A25" s="44" t="s">
        <v>379</v>
      </c>
      <c r="B25" s="68">
        <f>(5.5+10*LOG(MAX(2,B4/3),2))*B11</f>
        <v>38.302850860727403</v>
      </c>
      <c r="C25" s="79"/>
      <c r="D25" s="44"/>
    </row>
    <row r="26" spans="1:5" ht="15" customHeight="1" x14ac:dyDescent="0.25">
      <c r="A26" s="44" t="s">
        <v>380</v>
      </c>
      <c r="B26" s="74">
        <f>IF(Calculator!B18="LoKr",1,IF(Calculator!B21="Overcooked",0.75,IF(Calculator!B21="Weak",1.25,1))*IF(Calculator!B22="Weak",1.2,1))</f>
        <v>1</v>
      </c>
      <c r="C26" s="80"/>
      <c r="D26" s="44" t="s">
        <v>381</v>
      </c>
    </row>
    <row r="27" spans="1:5" ht="15" customHeight="1" x14ac:dyDescent="0.25">
      <c r="A27" s="44" t="s">
        <v>382</v>
      </c>
      <c r="B27" s="74">
        <f>IF(Calculator!B18="LoKr",1,IF(Calculator!B21="Weak",1.15,1)*IF(Calculator!B22="Overcooked",0.85,1))</f>
        <v>1</v>
      </c>
      <c r="C27" s="80"/>
      <c r="D27" s="44" t="s">
        <v>383</v>
      </c>
    </row>
    <row r="28" spans="1:5" ht="15" customHeight="1" x14ac:dyDescent="0.25">
      <c r="A28" s="44" t="s">
        <v>384</v>
      </c>
      <c r="B28" s="76">
        <f>IF(Calculator!B18="LoKr",0,IF(OR(Calculator!B21="Overcooked",Calculator!B22="Overcooked"),1,0))</f>
        <v>0</v>
      </c>
      <c r="C28" s="79"/>
      <c r="D28" s="44" t="s">
        <v>385</v>
      </c>
    </row>
    <row r="29" spans="1:5" ht="15" customHeight="1" x14ac:dyDescent="0.25">
      <c r="A29" s="44" t="s">
        <v>386</v>
      </c>
      <c r="B29" s="78">
        <f>IF(Calculator!B18="LoKr",0,IF(Calculator!B21="Overcooked",0.05,0))</f>
        <v>0</v>
      </c>
      <c r="C29" s="81"/>
      <c r="D29" s="44" t="s">
        <v>387</v>
      </c>
    </row>
    <row r="30" spans="1:5" ht="15" customHeight="1" x14ac:dyDescent="0.25">
      <c r="A30" s="44" t="s">
        <v>388</v>
      </c>
      <c r="B30" s="68">
        <f>IF(AND(Calculator!B27="Yes",IF(Calculator!B18="LoKr",Calibration!B14="LoKr",Calibration!B14="LoRA")),1,0)</f>
        <v>1</v>
      </c>
      <c r="C30" s="79"/>
      <c r="D30" s="44" t="s">
        <v>389</v>
      </c>
    </row>
    <row r="31" spans="1:5" ht="15" customHeight="1" x14ac:dyDescent="0.25">
      <c r="A31" s="44" t="s">
        <v>390</v>
      </c>
      <c r="B31" s="74">
        <f>IF(B30=1,F2,1)</f>
        <v>1.1491790509558433</v>
      </c>
      <c r="C31" s="80"/>
      <c r="D31" s="44" t="s">
        <v>391</v>
      </c>
    </row>
    <row r="32" spans="1:5" ht="15" customHeight="1" x14ac:dyDescent="0.25">
      <c r="A32" s="44" t="s">
        <v>392</v>
      </c>
      <c r="B32" s="74">
        <f>IF(B30=1,F3,1)</f>
        <v>1.6708939037647501</v>
      </c>
      <c r="C32" s="80"/>
      <c r="D32" s="44"/>
    </row>
    <row r="33" spans="1:4" ht="15" customHeight="1" x14ac:dyDescent="0.25">
      <c r="A33" s="44" t="s">
        <v>393</v>
      </c>
      <c r="B33" s="74">
        <f>IF(B30=1,F9,1)</f>
        <v>1</v>
      </c>
      <c r="C33" s="80"/>
      <c r="D33" s="44"/>
    </row>
    <row r="34" spans="1:4" ht="15" customHeight="1" x14ac:dyDescent="0.25">
      <c r="A34" s="44" t="s">
        <v>394</v>
      </c>
      <c r="B34" s="74">
        <f>IF(B30=1,F5,1)</f>
        <v>1</v>
      </c>
      <c r="C34" s="80"/>
      <c r="D34" s="44"/>
    </row>
    <row r="35" spans="1:4" ht="15" customHeight="1" x14ac:dyDescent="0.25">
      <c r="A35" s="44" t="s">
        <v>395</v>
      </c>
      <c r="B35" s="74">
        <f>IF(B30=1,F6,1)</f>
        <v>1</v>
      </c>
      <c r="C35" s="80"/>
      <c r="D35" s="44"/>
    </row>
    <row r="36" spans="1:4" ht="15" customHeight="1" x14ac:dyDescent="0.25">
      <c r="A36" s="44" t="s">
        <v>396</v>
      </c>
      <c r="B36" s="78">
        <f>IF(B30=1,F7,0)</f>
        <v>0</v>
      </c>
      <c r="C36" s="81"/>
      <c r="D36" s="44"/>
    </row>
    <row r="37" spans="1:4" ht="15" customHeight="1" x14ac:dyDescent="0.25">
      <c r="A37" s="44" t="s">
        <v>397</v>
      </c>
      <c r="B37" s="78">
        <f>IF(B30=1,F8,"")</f>
        <v>0.36842105263157893</v>
      </c>
      <c r="C37" s="81"/>
      <c r="D37" s="44" t="s">
        <v>398</v>
      </c>
    </row>
    <row r="38" spans="1:4" ht="15" customHeight="1" x14ac:dyDescent="0.25">
      <c r="A38" s="44" t="s">
        <v>399</v>
      </c>
      <c r="B38" s="68">
        <f>B30</f>
        <v>1</v>
      </c>
      <c r="C38" s="79"/>
      <c r="D38" s="44"/>
    </row>
    <row r="39" spans="1:4" ht="15" customHeight="1" x14ac:dyDescent="0.25">
      <c r="A39" s="44" t="s">
        <v>400</v>
      </c>
      <c r="B39" s="74">
        <f>IF(B38=1,F4,1)</f>
        <v>0.62295081967213117</v>
      </c>
      <c r="C39" s="80"/>
      <c r="D39" s="44"/>
    </row>
    <row r="40" spans="1:4" ht="15" customHeight="1" x14ac:dyDescent="0.25">
      <c r="A40" s="44" t="s">
        <v>401</v>
      </c>
      <c r="B40" s="68" t="str">
        <f>IF(B30=1,E15,"")</f>
        <v>Cosine</v>
      </c>
      <c r="C40" s="79"/>
      <c r="D40" s="44"/>
    </row>
    <row r="41" spans="1:4" ht="15" customHeight="1" x14ac:dyDescent="0.25">
      <c r="A41" s="44" t="s">
        <v>402</v>
      </c>
      <c r="B41" s="74">
        <f>IF(Calculator!B18="LoKr",0,IF(ISNUMBER(B37),B37,0.4)+B29)</f>
        <v>0.36842105263157893</v>
      </c>
      <c r="C41" s="80"/>
      <c r="D41" s="44" t="s">
        <v>403</v>
      </c>
    </row>
    <row r="42" spans="1:4" ht="15" customHeight="1" x14ac:dyDescent="0.25">
      <c r="A42" s="44" t="s">
        <v>404</v>
      </c>
      <c r="B42" s="71">
        <f>IF(Calculator!B18="LoKr",ROUND(B14*B39,0),IF(B38=1,ROUND(B23*B39,0),B23))</f>
        <v>380</v>
      </c>
      <c r="C42" s="82"/>
      <c r="D42" s="44"/>
    </row>
    <row r="43" spans="1:4" ht="15" customHeight="1" x14ac:dyDescent="0.25">
      <c r="A43" s="44" t="s">
        <v>405</v>
      </c>
      <c r="B43" s="71">
        <f>IF(Calculator!B18="LoKr",B42,IF(Calculator!B23&gt;0,ROUND(Calculator!B23/(1-B41)/10,0)*10,B42))</f>
        <v>380</v>
      </c>
      <c r="C43" s="82"/>
      <c r="D43" s="44" t="s">
        <v>406</v>
      </c>
    </row>
    <row r="44" spans="1:4" ht="15" customHeight="1" x14ac:dyDescent="0.25">
      <c r="A44" s="44" t="s">
        <v>407</v>
      </c>
      <c r="B44" s="71">
        <f>IF(Calculator!B18="LoKr",0,IF(Calculator!B23&gt;0,ROUND(B43*B41/10,0)*10,IF(ISNUMBER(B37),ROUND(B43*B41,0),ROUND(B43*B41/10,0)*10)))</f>
        <v>140</v>
      </c>
      <c r="C44" s="82"/>
      <c r="D44" s="44"/>
    </row>
    <row r="45" spans="1:4" ht="15" customHeight="1" x14ac:dyDescent="0.25">
      <c r="A45" s="44" t="s">
        <v>408</v>
      </c>
      <c r="B45" s="76">
        <f>IF(Calculator!B18="LoKr",B15*B31*B27, B24*B31*B27)</f>
        <v>6.9999999999999899E-5</v>
      </c>
      <c r="C45" s="83"/>
      <c r="D45" s="44" t="s">
        <v>409</v>
      </c>
    </row>
    <row r="46" spans="1:4" ht="15" customHeight="1" x14ac:dyDescent="0.25">
      <c r="A46" s="44" t="s">
        <v>410</v>
      </c>
      <c r="B46" s="76">
        <f>IF(Calculator!B18="LoKr",B45/SQRT(MAX(1,Calculator!B16)),B45/SQRT(Calculator!B16))</f>
        <v>6.9999999999999899E-5</v>
      </c>
      <c r="C46" s="83"/>
      <c r="D46" s="44" t="s">
        <v>411</v>
      </c>
    </row>
    <row r="47" spans="1:4" ht="15" customHeight="1" x14ac:dyDescent="0.25">
      <c r="A47" s="44" t="s">
        <v>22</v>
      </c>
      <c r="B47" s="76">
        <f>IF(OR(ISNUMBER(SEARCH("Prodigy",Calculator!B15)),ISNUMBER(SEARCH("Muon",Calculator!B15))),"engine default",ROUND(B46,6))</f>
        <v>6.9999999999999994E-5</v>
      </c>
      <c r="C47" s="83"/>
      <c r="D47" s="44"/>
    </row>
    <row r="48" spans="1:4" ht="15" customHeight="1" x14ac:dyDescent="0.25">
      <c r="A48" s="44" t="s">
        <v>412</v>
      </c>
      <c r="B48" s="72">
        <f>IF(Calculator!B18="LoKr",64,MAX(8,MIN(B25*B26,B21))*B32)</f>
        <v>63.999999999999829</v>
      </c>
      <c r="C48" s="84"/>
      <c r="D48" s="44"/>
    </row>
    <row r="49" spans="1:4" ht="15" customHeight="1" x14ac:dyDescent="0.25">
      <c r="A49" s="44" t="s">
        <v>413</v>
      </c>
      <c r="B49" s="71">
        <f>IF(Calculator!B18="LoKr",ROUND(B48*B32,0),MIN(256,MAX(8,2^ROUND(LOG(B48,2),0))))</f>
        <v>64</v>
      </c>
      <c r="C49" s="82"/>
      <c r="D49" s="44" t="s">
        <v>90</v>
      </c>
    </row>
    <row r="50" spans="1:4" ht="15" customHeight="1" x14ac:dyDescent="0.25">
      <c r="A50" s="44" t="s">
        <v>414</v>
      </c>
      <c r="B50" s="71">
        <f>IF(Calculator!B18="LoKr",ROUND(128*B33,0),MAX(1,ROUND(B49*B33,0)))</f>
        <v>64</v>
      </c>
      <c r="C50" s="82"/>
      <c r="D50" s="44" t="s">
        <v>94</v>
      </c>
    </row>
    <row r="51" spans="1:4" ht="15" customHeight="1" x14ac:dyDescent="0.25">
      <c r="A51" s="44" t="s">
        <v>415</v>
      </c>
      <c r="B51" s="85">
        <f>IF(Calculator!B18="LoKr","N/A",IF(B30=1,E13,ROUND(B22*B35,3)))</f>
        <v>0.47</v>
      </c>
      <c r="C51" s="86"/>
      <c r="D51" s="44" t="s">
        <v>416</v>
      </c>
    </row>
    <row r="52" spans="1:4" ht="15" customHeight="1" x14ac:dyDescent="0.25">
      <c r="A52" s="44" t="s">
        <v>417</v>
      </c>
      <c r="B52" s="85">
        <f>IF(Calculator!B18="LoKr","N/A",IF(B30=1,E12,ROUND(B23*B34,3)))</f>
        <v>0.12</v>
      </c>
      <c r="C52" s="86"/>
      <c r="D52" s="44" t="s">
        <v>418</v>
      </c>
    </row>
    <row r="53" spans="1:4" ht="15" customHeight="1" x14ac:dyDescent="0.25">
      <c r="A53" s="44" t="s">
        <v>419</v>
      </c>
      <c r="B53" s="78">
        <f>IF(Calculator!B18="LoKr","N/A",ROUND(MIN(0.9,MAX(0,IF(OR(B8="Yes",B4&lt;15),0.5,0.35)+B36)),2))</f>
        <v>0.5</v>
      </c>
      <c r="C53" s="81"/>
      <c r="D53" s="44"/>
    </row>
    <row r="54" spans="1:4" ht="15" customHeight="1" x14ac:dyDescent="0.25">
      <c r="A54" s="44" t="s">
        <v>420</v>
      </c>
      <c r="B54" s="78">
        <f>IF(Calculator!B18="LoKr","N/A",IF(B28=1,MAX(B53,0.5),B53))</f>
        <v>0.5</v>
      </c>
      <c r="C54" s="81"/>
      <c r="D54" s="44" t="s">
        <v>421</v>
      </c>
    </row>
    <row r="55" spans="1:4" ht="15" customHeight="1" x14ac:dyDescent="0.25">
      <c r="A55" s="44" t="s">
        <v>422</v>
      </c>
      <c r="B55" s="68" t="str">
        <f>IF(Calculator!B18="LoKr","N/A",IF(Calculator!B17&lt;&gt;"Auto",Calculator!B17,IF(OR(B40="Cosine",B40="Linear"),B40,IF(Calculator!B23&gt;0,"Cosine",IF(B12&gt;0.6,"Linear","Cosine")))))</f>
        <v>Cosine</v>
      </c>
      <c r="C55" s="79"/>
      <c r="D55" s="44" t="s">
        <v>423</v>
      </c>
    </row>
  </sheetData>
  <mergeCells count="2">
    <mergeCell ref="A1:D1"/>
    <mergeCell ref="A2:D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Calculator</vt:lpstr>
      <vt:lpstr>Calibration</vt:lpstr>
      <vt:lpstr>Guides</vt:lpstr>
      <vt:lpstr>Engine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Clarke</cp:lastModifiedBy>
  <dcterms:modified xsi:type="dcterms:W3CDTF">2026-10-04T15:41:47Z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2026-10-04T08:17:26Z</dcterms:created>
  <dc:creator>openpyxl</dc:creator>
  <dc:description/>
  <dc:language>en-US</dc:language>
  <cp:lastModifiedBy/>
  <dcterms:modified xsi:type="dcterms:W3CDTF">2026-10-04T15:26:27Z</dcterms:modified>
  <cp:revision>0</cp:revision>
  <dc:subject/>
  <dc:title>HOT-Step LoRA Training Settings Calculator — Dashboard Edition</dc:title>
</cp:coreProperties>
</file>