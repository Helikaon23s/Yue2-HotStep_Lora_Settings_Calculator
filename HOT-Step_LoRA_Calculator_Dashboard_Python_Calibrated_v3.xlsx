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Calculator" sheetId="1" state="visible" r:id="rId3"/>
    <sheet name="Calibration" sheetId="2" state="visible" r:id="rId4"/>
    <sheet name="Guides" sheetId="3" state="visible" r:id="rId5"/>
    <sheet name="Engine" sheetId="4" state="visible" r:id="rId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OpenAI</author>
  </authors>
  <commentList>
    <comment ref="G12" authorId="0">
      <text>
        <r>
          <rPr>
            <sz val="10"/>
            <rFont val="Arial"/>
            <family val="2"/>
          </rPr>
          <t xml:space="preserve">Latest Python/DSP audio-complexity datum for Ryk 1.10. Leave blank to use the 1–10 Music complexity rating proxy.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xdr:colOff>
                <xdr:row>1</xdr:row>
                <xdr:rowOff>25</xdr:rowOff>
              </xdr:to>
            </anchor>
          </commentPr>
        </mc:Choice>
        <mc:Fallback/>
      </mc:AlternateContent>
    </comment>
  </commentList>
</comments>
</file>

<file path=xl/sharedStrings.xml><?xml version="1.0" encoding="utf-8"?>
<sst xmlns="http://schemas.openxmlformats.org/spreadsheetml/2006/main" count="514" uniqueCount="404">
  <si>
    <t xml:space="preserve">HOT-STEP  •  LoRA TRAINING DASHBOARD</t>
  </si>
  <si>
    <t xml:space="preserve">Dataset-aware training recommendations  •  edit the blue/yellow fields  •  green values are calculated</t>
  </si>
  <si>
    <t xml:space="preserve">INPUTS  •  describe your dataset</t>
  </si>
  <si>
    <t xml:space="preserve">RECOMMENDED SETTINGS  •  ready to copy into the trainer</t>
  </si>
  <si>
    <t xml:space="preserve">Start with Dataset + Training choices. After a trial, enter feedback and the best checkpoint; calibration is optional.</t>
  </si>
  <si>
    <t xml:space="preserve">1  DATASET</t>
  </si>
  <si>
    <t xml:space="preserve">LORA RANK</t>
  </si>
  <si>
    <t xml:space="preserve">TRAINING STEPS</t>
  </si>
  <si>
    <t xml:space="preserve">ALPHA</t>
  </si>
  <si>
    <t xml:space="preserve">Input</t>
  </si>
  <si>
    <t xml:space="preserve">Your value</t>
  </si>
  <si>
    <t xml:space="preserve">Allowed</t>
  </si>
  <si>
    <t xml:space="preserve">Notes &amp; tips</t>
  </si>
  <si>
    <t xml:space="preserve">Number of tracks</t>
  </si>
  <si>
    <t xml:space="preserve">whole number, 1 or more</t>
  </si>
  <si>
    <t xml:space="preserve">How many separate songs are in the dataset. Count the ORIGINAL songs, not the clips they were cut into.
TIP: this is the biggest single driver of steps, rank and learning rate. Small datasets get a smaller rank and higher caption dropout.</t>
  </si>
  <si>
    <t xml:space="preserve">Total audio time (minutes)</t>
  </si>
  <si>
    <t xml:space="preserve">number above 0</t>
  </si>
  <si>
    <t xml:space="preserve">The combined length of ALL tracks in minutes (for example 38 tracks x about 4 minutes = 152).
TIP: check the folder's total duration in your file manager. A rough figure is fine; longer datasets raise the steps a little.</t>
  </si>
  <si>
    <t xml:space="preserve">Music complexity (1 - 10)</t>
  </si>
  <si>
    <t xml:space="preserve">dropdown 1 to 10</t>
  </si>
  <si>
    <t xml:space="preserve">How busy and layered the music is. 1 = sparse (a voice and one instrument), 10 = multi-layered, complicated music.
TIP: see the Guides sheet for examples at each level. If unsure, listen to three random tracks and rate the busiest one. Complexity drives steps, rank, learning rate, planner scale, timing weight and the decay shape.</t>
  </si>
  <si>
    <t xml:space="preserve">LEARNING RATE</t>
  </si>
  <si>
    <t xml:space="preserve">TIMING WEIGHT</t>
  </si>
  <si>
    <t xml:space="preserve">DROPOUT</t>
  </si>
  <si>
    <t xml:space="preserve">Tag quality (1 - 10) [legacy fallback]</t>
  </si>
  <si>
    <t xml:space="preserve">Legacy fallback only. If Average caption tags / track is filled, the latest Python v2 tag-count formula is used instead.</t>
  </si>
  <si>
    <t xml:space="preserve">Tracks split into short clips?</t>
  </si>
  <si>
    <t xml:space="preserve">No</t>
  </si>
  <si>
    <t xml:space="preserve">Yes / No</t>
  </si>
  <si>
    <t xml:space="preserve">Did you cut the songs into short clips for training?
TIP: Yes (or having fewer than 15 tracks) sets caption dropout to 0.50 to stop the model memorising captions; otherwise it is 0.35.</t>
  </si>
  <si>
    <t xml:space="preserve">Average caption tags / track [Python v2]</t>
  </si>
  <si>
    <t xml:space="preserve">number, 0+</t>
  </si>
  <si>
    <t xml:space="preserve">Latest Python method: count comma-separated tags in every &lt;track&gt;.yue2.txt and average over ALL tracks; tracks without a caption count as 0. 28+ gives the maximum caption richness factor (1.30).</t>
  </si>
  <si>
    <t xml:space="preserve">AUDIO COMPLEXITY [Python/DSP]</t>
  </si>
  <si>
    <t xml:space="preserve">CAPTION FACTOR [Python v2]</t>
  </si>
  <si>
    <t xml:space="preserve">2  TRAINING CHOICES</t>
  </si>
  <si>
    <t xml:space="preserve">DATASET PROFILE</t>
  </si>
  <si>
    <t xml:space="preserve">Tracks</t>
  </si>
  <si>
    <t xml:space="preserve">Minutes</t>
  </si>
  <si>
    <t xml:space="preserve">Complexity</t>
  </si>
  <si>
    <t xml:space="preserve">Optimizer</t>
  </si>
  <si>
    <t xml:space="preserve">AdamW</t>
  </si>
  <si>
    <t xml:space="preserve">dropdown</t>
  </si>
  <si>
    <t xml:space="preserve">The optimizer you train with.
TIP: Prodigy and Muon manage the learning rate themselves, so the learning rate result shows 'engine default' for them.</t>
  </si>
  <si>
    <t xml:space="preserve">Accumulation steps</t>
  </si>
  <si>
    <t xml:space="preserve">whole number 1 to 64</t>
  </si>
  <si>
    <t xml:space="preserve">Gradient accumulation steps in your trainer (1 if you do not use it).
TIP: the learning rate is divided by the square root of this number. If you change it later, re-copy the new learning rate.</t>
  </si>
  <si>
    <t xml:space="preserve">Tag quality</t>
  </si>
  <si>
    <t xml:space="preserve">Clips</t>
  </si>
  <si>
    <t xml:space="preserve">Decay shape</t>
  </si>
  <si>
    <t xml:space="preserve">Auto</t>
  </si>
  <si>
    <t xml:space="preserve">Auto / Cosine / Linear</t>
  </si>
  <si>
    <t xml:space="preserve">How the learning rate falls during the final decay phase.
TIP: leave on Auto. Auto picks Linear for very busy music (complexity 7 or more), otherwise Cosine. With an active calibration, Auto uses the shape from your calibration run.</t>
  </si>
  <si>
    <t xml:space="preserve">3  TRIAL FEEDBACK</t>
  </si>
  <si>
    <t xml:space="preserve">TRIAL + CALIBRATION STATUS</t>
  </si>
  <si>
    <t xml:space="preserve">Instruments sound</t>
  </si>
  <si>
    <t xml:space="preserve">Good</t>
  </si>
  <si>
    <t xml:space="preserve">Good / Weak / Overcooked</t>
  </si>
  <si>
    <t xml:space="preserve">How do the instruments in your test generations sound compared with the dataset?
Good = close, good timbre.  Weak = lacks character.  Overcooked = near-exact copies / memorised.
TIP: Weak raises rank and learning rate. Overcooked lowers rank, raises caption dropout to 0.50 and lengthens the decay.</t>
  </si>
  <si>
    <t xml:space="preserve">Vocals sound</t>
  </si>
  <si>
    <t xml:space="preserve">Good / Weak / Overcooked / NA</t>
  </si>
  <si>
    <t xml:space="preserve">How do the vocals sound compared with the singer in the dataset? Choose NA for instrumental datasets.
TIP: Weak raises rank. Overcooked lowers the learning rate and raises caption dropout to 0.50.</t>
  </si>
  <si>
    <t xml:space="preserve">Best peak step (0 = first run)</t>
  </si>
  <si>
    <t xml:space="preserve">whole number, 0 or more</t>
  </si>
  <si>
    <t xml:space="preserve">The checkpoint step that sounded best in your trial run. Leave 0 on the first run.
TIP: save checkpoints often (for example every 25 to 50 steps) so you can find the peak. Entering it re-fits the schedule so the peak sits at the end of the stable phase and the decay follows.</t>
  </si>
  <si>
    <t xml:space="preserve">4  CALIBRATION</t>
  </si>
  <si>
    <t xml:space="preserve">TRAINER COPY BLOCK</t>
  </si>
  <si>
    <t xml:space="preserve">Rank</t>
  </si>
  <si>
    <t xml:space="preserve">Apply calibration?</t>
  </si>
  <si>
    <t xml:space="preserve">Yes</t>
  </si>
  <si>
    <t xml:space="preserve">Yes = correct the calculator using the run you entered on the Calibration sheet.
TIP: fill in the Calibration sheet first (a dataset the calculator got wrong, plus the settings that worked), then switch this to Yes. Keep it on No for the plain calculation.</t>
  </si>
  <si>
    <t xml:space="preserve">Alpha</t>
  </si>
  <si>
    <t xml:space="preserve">Calibration in use</t>
  </si>
  <si>
    <t xml:space="preserve">(shows automatically)</t>
  </si>
  <si>
    <t xml:space="preserve">Shows which calibration run is being applied, using the Run name from the Calibration sheet.</t>
  </si>
  <si>
    <t xml:space="preserve">Steps</t>
  </si>
  <si>
    <t xml:space="preserve">5  RECOMMENDED SETTINGS</t>
  </si>
  <si>
    <t xml:space="preserve">Learning Rate</t>
  </si>
  <si>
    <t xml:space="preserve">Setting</t>
  </si>
  <si>
    <t xml:space="preserve">Value</t>
  </si>
  <si>
    <t xml:space="preserve">Unit / range</t>
  </si>
  <si>
    <t xml:space="preserve">What it is &amp; tips</t>
  </si>
  <si>
    <t xml:space="preserve">Planner LR Scale</t>
  </si>
  <si>
    <t xml:space="preserve">Lora Rank</t>
  </si>
  <si>
    <t xml:space="preserve">8, 16, 32, 64, 128 or 256</t>
  </si>
  <si>
    <t xml:space="preserve">LoRA rank. Always one of the valid sizes.
TIP: if you run out of VRAM, step down one size; if the result is too weak, step up one.</t>
  </si>
  <si>
    <t xml:space="preserve">Caption Dropout</t>
  </si>
  <si>
    <t xml:space="preserve">usually equal to rank</t>
  </si>
  <si>
    <t xml:space="preserve">LoRA alpha. Equals the rank unless a calibration run used a different ratio.
TIP: keep alpha equal to rank for standard scaling.</t>
  </si>
  <si>
    <t xml:space="preserve">Decay Steps</t>
  </si>
  <si>
    <t xml:space="preserve">Timing Loss Weight</t>
  </si>
  <si>
    <t xml:space="preserve">about 0.05 to 0.15</t>
  </si>
  <si>
    <t xml:space="preserve">How strongly timing is weighted in the loss. Busier music gets a slightly higher value.</t>
  </si>
  <si>
    <t xml:space="preserve">Decay Shape</t>
  </si>
  <si>
    <t xml:space="preserve">total training steps</t>
  </si>
  <si>
    <t xml:space="preserve">Total training steps.
TIP: save checkpoints often and enter the best one in section 3 for the next calculation.</t>
  </si>
  <si>
    <t xml:space="preserve">Accumulation</t>
  </si>
  <si>
    <t xml:space="preserve">as chosen</t>
  </si>
  <si>
    <t xml:space="preserve">The optimizer you selected in section 2, repeated here so you can copy all settings from one block.</t>
  </si>
  <si>
    <t xml:space="preserve">per-step learning rate</t>
  </si>
  <si>
    <t xml:space="preserve">The learning rate to enter in the trainer, already adjusted for your accumulation steps. 'engine default' means the optimizer sets it itself.</t>
  </si>
  <si>
    <t xml:space="preserve">WHY THESE NUMBERS?</t>
  </si>
  <si>
    <t xml:space="preserve">Planner Learning-Rate Scale</t>
  </si>
  <si>
    <t xml:space="preserve">about 0.20 to 0.50</t>
  </si>
  <si>
    <t xml:space="preserve">Scale for the planner's learning rate. Higher for busier music.</t>
  </si>
  <si>
    <t xml:space="preserve">Combined complexity</t>
  </si>
  <si>
    <t xml:space="preserve">0 to 0.9</t>
  </si>
  <si>
    <t xml:space="preserve">Fraction of training steps where the caption is dropped. Higher values reduce caption memorisation.
TIP: if generations just copy the training songs (Overcooked), this goes to 0.50 or higher automatically.</t>
  </si>
  <si>
    <t xml:space="preserve">Audio complexity score</t>
  </si>
  <si>
    <t xml:space="preserve">steps in the final decay phase</t>
  </si>
  <si>
    <t xml:space="preserve">Number of steps in the final decay phase of the schedule (about 40% of the run unless calibration or feedback changes it).</t>
  </si>
  <si>
    <t xml:space="preserve">Caption richness</t>
  </si>
  <si>
    <t xml:space="preserve">Cosine / Linear</t>
  </si>
  <si>
    <t xml:space="preserve">Shape of the learning-rate decay. Cosine is gentler; Linear cools steadily across busy, mixed material.</t>
  </si>
  <si>
    <t xml:space="preserve">Dataset-size curve</t>
  </si>
  <si>
    <t xml:space="preserve">Accumulation Steps</t>
  </si>
  <si>
    <t xml:space="preserve">Gradient accumulation steps, repeated from section 2.</t>
  </si>
  <si>
    <t xml:space="preserve">6  CALCULATION INSIGHT</t>
  </si>
  <si>
    <t xml:space="preserve">Item</t>
  </si>
  <si>
    <t xml:space="preserve">Meaning</t>
  </si>
  <si>
    <t xml:space="preserve">WORKFLOW</t>
  </si>
  <si>
    <t xml:space="preserve">0.60 to 1.60</t>
  </si>
  <si>
    <t xml:space="preserve">Your 1-10 complexity rating converted to the score the desktop calculator derives from audio analysis.</t>
  </si>
  <si>
    <t xml:space="preserve">1  Describe dataset → read the green recommendations.</t>
  </si>
  <si>
    <t xml:space="preserve">Caption richness factor</t>
  </si>
  <si>
    <t xml:space="preserve">0.80 to 1.30</t>
  </si>
  <si>
    <t xml:space="preserve">Your 1-10 tag-quality rating converted to the caption factor (10 equals a full 28-tag caption).</t>
  </si>
  <si>
    <t xml:space="preserve">2  Train a trial and inspect checkpoints.</t>
  </si>
  <si>
    <t xml:space="preserve">Audio complexity x caption richness. This one number feeds the steps, learning rate and rank.</t>
  </si>
  <si>
    <t xml:space="preserve">3  Enter feedback + best peak step → recalculate.</t>
  </si>
  <si>
    <t xml:space="preserve">Feedback applied</t>
  </si>
  <si>
    <t xml:space="preserve">Which trial-run feedback is changing the settings.</t>
  </si>
  <si>
    <t xml:space="preserve">4  Add a proven run to Calibration → switch Apply calibration to Yes.</t>
  </si>
  <si>
    <t xml:space="preserve">Calibration applied</t>
  </si>
  <si>
    <t xml:space="preserve">Whether the Calibration sheet is changing the settings.</t>
  </si>
  <si>
    <t xml:space="preserve">Step schedule</t>
  </si>
  <si>
    <t xml:space="preserve">How the total steps were chosen.</t>
  </si>
  <si>
    <t xml:space="preserve">ESTIMATE ONLY  •  These formulas mirror the desktop calculator but use your ratings instead of measured audio features. Use the result as a starting point and refine it from real training runs.</t>
  </si>
  <si>
    <t xml:space="preserve">Estimate only. The formulas mirror the desktop calculator but use your ratings in place of measured audio features, so expect it to be less precise. The curves are heuristics and have not been validated on real training runs.</t>
  </si>
  <si>
    <t xml:space="preserve">Calibration  -  teach the calculator what worked</t>
  </si>
  <si>
    <t xml:space="preserve">This sheet is seeded from the Python calibration.cfg run Ryk 1.10. The exact Python baseline/worked datum is retained below so the calculator starts from the same calibration point.</t>
  </si>
  <si>
    <t xml:space="preserve">Legend:</t>
  </si>
  <si>
    <t xml:space="preserve">Yellow + blue text = you edit</t>
  </si>
  <si>
    <t xml:space="preserve">Green = calculated</t>
  </si>
  <si>
    <t xml:space="preserve">Python calibration imported: Ryk 1.10</t>
  </si>
  <si>
    <t xml:space="preserve">A.  THE DATASET THE SETTINGS WORKED ON</t>
  </si>
  <si>
    <t xml:space="preserve">Run name</t>
  </si>
  <si>
    <t xml:space="preserve">Ryk 1.10</t>
  </si>
  <si>
    <t xml:space="preserve">any text</t>
  </si>
  <si>
    <t xml:space="preserve">A name for this calibration. It is shown on the Calculator sheet when calibration is in use.
TIP: use something you will recognise, such as the singer or album.</t>
  </si>
  <si>
    <t xml:space="preserve">Dataset name</t>
  </si>
  <si>
    <t xml:space="preserve">Royksopp Select 10 v4</t>
  </si>
  <si>
    <t xml:space="preserve">any text (record only)</t>
  </si>
  <si>
    <t xml:space="preserve">The folder or dataset name. Kept for your records; it does not change any calculation.</t>
  </si>
  <si>
    <t xml:space="preserve">How many songs were in THAT dataset (the one the settings worked on).</t>
  </si>
  <si>
    <t xml:space="preserve">Combined length of all tracks in that dataset, in minutes.</t>
  </si>
  <si>
    <t xml:space="preserve">Rate that dataset's music with the same scale as the Calculator sheet (see the Guides sheet).</t>
  </si>
  <si>
    <t xml:space="preserve">Tag quality (1 - 10)</t>
  </si>
  <si>
    <t xml:space="preserve">Rate that dataset's captions with the same scale as the Calculator sheet.</t>
  </si>
  <si>
    <t xml:space="preserve">Were that dataset's songs cut into clips?</t>
  </si>
  <si>
    <t xml:space="preserve">B.  THE SETTINGS THAT WORKED</t>
  </si>
  <si>
    <t xml:space="preserve">What worked</t>
  </si>
  <si>
    <t xml:space="preserve">8, 16, 32, 64, 128, 256</t>
  </si>
  <si>
    <t xml:space="preserve">The LoRA rank that gave good results.
TIP: this is the setting most likely to differ from the calculator's figure.</t>
  </si>
  <si>
    <t xml:space="preserve">The LoRA alpha you used. Usually the same as the rank.</t>
  </si>
  <si>
    <t xml:space="preserve">Timing loss weight</t>
  </si>
  <si>
    <t xml:space="preserve">The timing loss weight you used.</t>
  </si>
  <si>
    <t xml:space="preserve">Steps (total)</t>
  </si>
  <si>
    <t xml:space="preserve">whole number</t>
  </si>
  <si>
    <t xml:space="preserve">The total number of steps of the run length you want repeated.
TIP: if your best checkpoint was well before the end, enter the shorter length you would use next time.</t>
  </si>
  <si>
    <t xml:space="preserve">Learning rate (as entered)</t>
  </si>
  <si>
    <t xml:space="preserve">The learning rate you typed into the trainer, as is.
TIP: leave blank if you used Prodigy or Muon.</t>
  </si>
  <si>
    <t xml:space="preserve">Accumulation steps used</t>
  </si>
  <si>
    <t xml:space="preserve">The accumulation you used with that learning rate. It is needed to compare learning rates fairly.</t>
  </si>
  <si>
    <t xml:space="preserve">Planner learning-rate scale</t>
  </si>
  <si>
    <t xml:space="preserve">The planner learning-rate scale you used.</t>
  </si>
  <si>
    <t xml:space="preserve">Caption dropout</t>
  </si>
  <si>
    <t xml:space="preserve">The caption dropout you used.</t>
  </si>
  <si>
    <t xml:space="preserve">Average caption tags / track (Python v2)</t>
  </si>
  <si>
    <t xml:space="preserve">The Ryk 1.10 datum uses the latest Python caption calculation. 28+ tags produces the maximum richness factor of 1.30.</t>
  </si>
  <si>
    <t xml:space="preserve">Cosine</t>
  </si>
  <si>
    <t xml:space="preserve">The decay shape you used.</t>
  </si>
  <si>
    <t xml:space="preserve">C.  ANALYSER RESULTS FOR THAT RUN  (for your records - they do not change the calculation)</t>
  </si>
  <si>
    <t xml:space="preserve">Best checkpoint step</t>
  </si>
  <si>
    <t xml:space="preserve">Which checkpoint your analyser or ears judged best.
TIP: if this is far below the total steps, consider using the shorter length in B.</t>
  </si>
  <si>
    <t xml:space="preserve">Singer score</t>
  </si>
  <si>
    <t xml:space="preserve">number</t>
  </si>
  <si>
    <t xml:space="preserve">Voice-match score from your comparison tool, if you have one.</t>
  </si>
  <si>
    <t xml:space="preserve">Vibe score</t>
  </si>
  <si>
    <t xml:space="preserve">Overall sound-match score from your comparison tool, if you have one.</t>
  </si>
  <si>
    <t xml:space="preserve">Instruments verdict</t>
  </si>
  <si>
    <t xml:space="preserve">Your judgement of the instruments at the best checkpoint.</t>
  </si>
  <si>
    <t xml:space="preserve">Vocals verdict</t>
  </si>
  <si>
    <t xml:space="preserve">Your judgement of the vocals at the best checkpoint.</t>
  </si>
  <si>
    <t xml:space="preserve">D.  PYTHON CALIBRATION DATUM (from calibration.cfg)</t>
  </si>
  <si>
    <t xml:space="preserve">Baseline learning rate</t>
  </si>
  <si>
    <t xml:space="preserve">Python datum before calibration correction</t>
  </si>
  <si>
    <t xml:space="preserve">What it means</t>
  </si>
  <si>
    <t xml:space="preserve">Baseline rank</t>
  </si>
  <si>
    <t xml:space="preserve">Multiplier on the plain learning rate. Compared before accumulation scaling so runs with different accumulation stay comparable.</t>
  </si>
  <si>
    <t xml:space="preserve">Baseline peak step</t>
  </si>
  <si>
    <t xml:space="preserve">Python datum</t>
  </si>
  <si>
    <t xml:space="preserve">Multiplier on the plain rank capacity. The result is then rounded to a valid rank (8, 16, 32, 64, 128, 256).</t>
  </si>
  <si>
    <t xml:space="preserve">Baseline timing loss weight</t>
  </si>
  <si>
    <t xml:space="preserve">Multiplier on the plain total steps. On the calibration dataset itself this reproduces your steps exactly.</t>
  </si>
  <si>
    <t xml:space="preserve">Baseline planner scale</t>
  </si>
  <si>
    <t xml:space="preserve">Multiplier on the plain timing loss weight.</t>
  </si>
  <si>
    <t xml:space="preserve">Baseline caption dropout</t>
  </si>
  <si>
    <t xml:space="preserve">Multiplier on the plain planner scale.</t>
  </si>
  <si>
    <t xml:space="preserve">Worked total steps</t>
  </si>
  <si>
    <t xml:space="preserve">Added to the plain dropout (a shift, not a multiplier).</t>
  </si>
  <si>
    <t xml:space="preserve">Worked decay steps</t>
  </si>
  <si>
    <t xml:space="preserve">Decay steps divided by total steps. Applied to the total steps of any dataset.</t>
  </si>
  <si>
    <t xml:space="preserve">Worked learning rate</t>
  </si>
  <si>
    <t xml:space="preserve">Keeps the same alpha-to-rank ratio you used.</t>
  </si>
  <si>
    <t xml:space="preserve">Worked rank</t>
  </si>
  <si>
    <t xml:space="preserve">Used when the decay shape on the Calculator sheet is left on Auto.</t>
  </si>
  <si>
    <t xml:space="preserve">Worked alpha</t>
  </si>
  <si>
    <t xml:space="preserve">How many corrections will be applied.</t>
  </si>
  <si>
    <t xml:space="preserve">Worked timing loss weight</t>
  </si>
  <si>
    <t xml:space="preserve">Worked planner scale</t>
  </si>
  <si>
    <t xml:space="preserve">Worked caption dropout</t>
  </si>
  <si>
    <t xml:space="preserve">Measured audio complexity (Python DSP)</t>
  </si>
  <si>
    <t xml:space="preserve">Python DSP score</t>
  </si>
  <si>
    <t xml:space="preserve">Exact datum value implied by the original Python baseline: combined complexity 1.67483284219202 ÷ caption factor 1.30.</t>
  </si>
  <si>
    <t xml:space="preserve">Python DSP × Python v2 caption richness</t>
  </si>
  <si>
    <t xml:space="preserve">Should equal 1.67483284219202 for Ryk 1.10.</t>
  </si>
  <si>
    <t xml:space="preserve">E.  EXACT PYTHON CORRECTION FACTORS</t>
  </si>
  <si>
    <t xml:space="preserve">Correction factor</t>
  </si>
  <si>
    <t xml:space="preserve">Python datum: baseline → worked</t>
  </si>
  <si>
    <t xml:space="preserve">Learning rate</t>
  </si>
  <si>
    <t xml:space="preserve">0.00006091 → 0.00007000</t>
  </si>
  <si>
    <t xml:space="preserve">Exact Python LR correction</t>
  </si>
  <si>
    <t xml:space="preserve">38.3029 → 64</t>
  </si>
  <si>
    <t xml:space="preserve">Exact Python rank correction</t>
  </si>
  <si>
    <t xml:space="preserve">610 → 380</t>
  </si>
  <si>
    <t xml:space="preserve">Exact spreadsheet/Python baseline-step datum</t>
  </si>
  <si>
    <t xml:space="preserve">0.12 → 0.12</t>
  </si>
  <si>
    <t xml:space="preserve">Exact Python timing correction</t>
  </si>
  <si>
    <t xml:space="preserve">0.47 → 0.47</t>
  </si>
  <si>
    <t xml:space="preserve">Exact Python planner correction</t>
  </si>
  <si>
    <t xml:space="preserve">Caption dropout shift</t>
  </si>
  <si>
    <t xml:space="preserve">0.50 → 0.50</t>
  </si>
  <si>
    <t xml:space="preserve">Exact Python dropout shift</t>
  </si>
  <si>
    <t xml:space="preserve">Decay share of run</t>
  </si>
  <si>
    <t xml:space="preserve">140 / 380</t>
  </si>
  <si>
    <t xml:space="preserve">Exact Python decay share</t>
  </si>
  <si>
    <t xml:space="preserve">Alpha divided by rank</t>
  </si>
  <si>
    <t xml:space="preserve">64 / 64</t>
  </si>
  <si>
    <t xml:space="preserve">Exact Python alpha/rank ratio</t>
  </si>
  <si>
    <t xml:space="preserve">Exact Python decay shape</t>
  </si>
  <si>
    <t xml:space="preserve">Verification</t>
  </si>
  <si>
    <t xml:space="preserve">LR ×1.14917905095584; Rank ×1.67089390376475; Steps ×0.622950819672131; Decay 140/380; Alpha/Rank 1:1; Timing 0.12; Planner 0.47; Dropout 0.50; Shape Cosine.</t>
  </si>
  <si>
    <t xml:space="preserve">These reproduce the original Python Ryk 1.10 datum.</t>
  </si>
  <si>
    <t xml:space="preserve">Status</t>
  </si>
  <si>
    <t xml:space="preserve">9 of 9 Python datum corrections loaded</t>
  </si>
  <si>
    <t xml:space="preserve">Note</t>
  </si>
  <si>
    <t xml:space="preserve">With Apply calibration = Yes, the exact Python datum is authoritative: outputs reproduce the Ryk 1.10 worked run. Turn calibration off to return to the spreadsheet's normal rating-based engine.</t>
  </si>
  <si>
    <t xml:space="preserve">Guides  -  how to rate your dataset and what the calculator does</t>
  </si>
  <si>
    <t xml:space="preserve">MUSIC COMPLEXITY  (1 - 10)</t>
  </si>
  <si>
    <t xml:space="preserve">Rating</t>
  </si>
  <si>
    <t xml:space="preserve">What it sounds like</t>
  </si>
  <si>
    <t xml:space="preserve">Sparse: a voice with one quiet instrument, slow, almost nothing changing.</t>
  </si>
  <si>
    <t xml:space="preserve">Very simple: voice plus one instrument (acoustic guitar or piano), steady dynamics.</t>
  </si>
  <si>
    <t xml:space="preserve">Simple: small band or minimal electronic, only a few layers.</t>
  </si>
  <si>
    <t xml:space="preserve">Moderate: a standard pop or rock arrangement with a clean mix.</t>
  </si>
  <si>
    <t xml:space="preserve">Typical full track: drums, bass, chords, a lead and a vocal, some variation.</t>
  </si>
  <si>
    <t xml:space="preserve">Fairly busy: many layers, some fast changes and effects.</t>
  </si>
  <si>
    <t xml:space="preserve">Dense: lots of synth layers, stereo effects and frequent transients (typical modern synthpop or dance music).</t>
  </si>
  <si>
    <t xml:space="preserve">Very dense: heavily layered, wide frequency range, rapid changes.</t>
  </si>
  <si>
    <t xml:space="preserve">Extremely layered: sound-design heavy with constant movement.</t>
  </si>
  <si>
    <t xml:space="preserve">Maximum: multi-layered, complicated music throughout (orchestral plus electronic, glitch, breakcore).</t>
  </si>
  <si>
    <t xml:space="preserve">TAG QUALITY  (1 - 10, 10 is best)</t>
  </si>
  <si>
    <t xml:space="preserve">What the captions look like</t>
  </si>
  <si>
    <t xml:space="preserve">About this many tags</t>
  </si>
  <si>
    <t xml:space="preserve">Missing, or a single genre word.</t>
  </si>
  <si>
    <t xml:space="preserve">Genre plus one or two words.</t>
  </si>
  <si>
    <t xml:space="preserve">Genre, mood and BPM only.</t>
  </si>
  <si>
    <t xml:space="preserve">Genre plus a few instruments.</t>
  </si>
  <si>
    <t xml:space="preserve">Genre, main instruments and mood.</t>
  </si>
  <si>
    <t xml:space="preserve">Genre, instruments, mood and a little about the vocal.</t>
  </si>
  <si>
    <t xml:space="preserve">Instruments, vocal style, mix and mood described.</t>
  </si>
  <si>
    <t xml:space="preserve">Detailed: instruments, vocal processing, mix, mood and BPM.</t>
  </si>
  <si>
    <t xml:space="preserve">Very detailed on every part of the sound.</t>
  </si>
  <si>
    <t xml:space="preserve">Best: about 28 specific tags covering genre, instruments, vocal delivery, effects, mix, mood and BPM.</t>
  </si>
  <si>
    <t xml:space="preserve">TIP: tags per track are what count. The desktop calculator counts the comma-separated tags in each &lt;trackname&gt;.yue2.txt file; 1 = about 4 tags or fewer, 10 = about 28 tags or more. Tracks with no caption pull the average down.</t>
  </si>
  <si>
    <t xml:space="preserve">WHAT EACH INPUT CHANGES</t>
  </si>
  <si>
    <t xml:space="preserve">Effect</t>
  </si>
  <si>
    <t xml:space="preserve">Main driver of steps, learning rate and rank. Also sets caption dropout (fewer than 15 tracks = 0.50).</t>
  </si>
  <si>
    <t xml:space="preserve">Total time</t>
  </si>
  <si>
    <t xml:space="preserve">Raises the steps a little as the dataset gets longer.</t>
  </si>
  <si>
    <t xml:space="preserve">Raises steps, learning rate and rank; also sets planner scale, timing loss weight and (with Auto) the decay shape.</t>
  </si>
  <si>
    <t xml:space="preserve">Raises steps, learning rate (about +28% from poorest to best tags) and rank capacity. Planner scale, timing weight, dropout and decay shape are not affected.</t>
  </si>
  <si>
    <t xml:space="preserve">Instruments Weak</t>
  </si>
  <si>
    <t xml:space="preserve">Rank x1.25 and learning rate x1.15.</t>
  </si>
  <si>
    <t xml:space="preserve">Instruments Overcooked</t>
  </si>
  <si>
    <t xml:space="preserve">Rank x0.75, caption dropout to 0.50, decay 5% longer.</t>
  </si>
  <si>
    <t xml:space="preserve">Vocals Weak</t>
  </si>
  <si>
    <t xml:space="preserve">Rank x1.20.</t>
  </si>
  <si>
    <t xml:space="preserve">Vocals Overcooked</t>
  </si>
  <si>
    <t xml:space="preserve">Learning rate x0.85 and caption dropout to 0.50.</t>
  </si>
  <si>
    <t xml:space="preserve">Best peak step</t>
  </si>
  <si>
    <t xml:space="preserve">Total steps re-fitted so the peak sits at the end of the stable phase (about 60% of the run), with the decay after it.</t>
  </si>
  <si>
    <t xml:space="preserve">Learning rate divided by the square root of the accumulation steps.</t>
  </si>
  <si>
    <t xml:space="preserve">Prodigy and Muon show 'engine default' for the learning rate.</t>
  </si>
  <si>
    <t xml:space="preserve">Calibration</t>
  </si>
  <si>
    <t xml:space="preserve">Multiplies the plain steps, learning rate, rank, timing weight and planner scale by the factors on the Calibration sheet.</t>
  </si>
  <si>
    <t xml:space="preserve">SUGGESTED WORKFLOW</t>
  </si>
  <si>
    <t xml:space="preserve">1.  Fill in section 1 and 2 on the Calculator sheet, then read the settings in section 5 and train a first run.</t>
  </si>
  <si>
    <t xml:space="preserve">2.  Listen to the checkpoints. Note the best step and whether the instruments and vocals sound Good, Weak or Overcooked.</t>
  </si>
  <si>
    <t xml:space="preserve">3.  Enter those in section 3 and read the updated settings for the next run.</t>
  </si>
  <si>
    <t xml:space="preserve">4.  When a run produces a LoRA you are happy with, copy its settings into the Calibration sheet (and describe its dataset), set 'Apply calibration' to Yes, and use the Calculator for new datasets.</t>
  </si>
  <si>
    <t xml:space="preserve">5.  Remember: this sheet is an estimate built from ratings. The desktop calculator measures the audio for you and will be more precise.</t>
  </si>
  <si>
    <t xml:space="preserve">LATEST PYTHON V2 CAPTION CALCULATION</t>
  </si>
  <si>
    <t xml:space="preserve">Average tags per track</t>
  </si>
  <si>
    <t xml:space="preserve">Count comma-separated tags in each &lt;track&gt;.yue2.txt; average across ALL parent tracks. A track with no caption contributes 0.</t>
  </si>
  <si>
    <t xml:space="preserve">0.80 + 0.50 × clamp((average tags − 4) / 24, 0, 1). 4 tags or fewer = 0.80; 28+ tags = 1.30.</t>
  </si>
  <si>
    <t xml:space="preserve">Legacy tag quality</t>
  </si>
  <si>
    <t xml:space="preserve">The 1–10 Tag quality field remains as a fallback only when the Python average-tag field is blank.</t>
  </si>
  <si>
    <t xml:space="preserve">Ryk 1.10 datum</t>
  </si>
  <si>
    <t xml:space="preserve">28+ average tags → caption factor 1.30. Python audio complexity = 1.2883329555. Combined complexity = 1.6748328422.</t>
  </si>
  <si>
    <t xml:space="preserve">Engine  -  workings (do not edit)</t>
  </si>
  <si>
    <t xml:space="preserve">Exact factors</t>
  </si>
  <si>
    <t xml:space="preserve">Column B calculates your dataset on the Calculator sheet. Column C calculates the Calibration dataset on the same formulas, so the Calibration sheet can compare 'what the plain calculator says' with 'what worked'.</t>
  </si>
  <si>
    <t xml:space="preserve">Your dataset</t>
  </si>
  <si>
    <t xml:space="preserve">Calibration dataset</t>
  </si>
  <si>
    <t xml:space="preserve">Total minutes</t>
  </si>
  <si>
    <t xml:space="preserve">Complexity rating</t>
  </si>
  <si>
    <t xml:space="preserve">Input (1-10)</t>
  </si>
  <si>
    <t xml:space="preserve">Tag quality rating (legacy)</t>
  </si>
  <si>
    <t xml:space="preserve">Split into clips?</t>
  </si>
  <si>
    <t xml:space="preserve">Input (Yes/No)</t>
  </si>
  <si>
    <t xml:space="preserve">Python/DSP audio complexity when Calculator!G12 is populated; otherwise the legacy 1–10 proxy is used.</t>
  </si>
  <si>
    <t xml:space="preserve">Caption richness factor (Python v2)</t>
  </si>
  <si>
    <t xml:space="preserve">Latest Python v2: 0.80 + 0.50 × clamp((average tags − 4) / 24, 0, 1). Average is across ALL tracks.</t>
  </si>
  <si>
    <t xml:space="preserve">Combined complexity (Python v2)</t>
  </si>
  <si>
    <t xml:space="preserve">Audio complexity × Python caption richness factor.</t>
  </si>
  <si>
    <t xml:space="preserve">Spectral variance score</t>
  </si>
  <si>
    <t xml:space="preserve">Legacy spreadsheet proxy only; the Python engine derives variance from measured spectral flux/centroid/RMS.</t>
  </si>
  <si>
    <t xml:space="preserve">Duration (hours)</t>
  </si>
  <si>
    <t xml:space="preserve">Minutes / 60, at least 0.05</t>
  </si>
  <si>
    <t xml:space="preserve">Base steps</t>
  </si>
  <si>
    <t xml:space="preserve">150 + 130 x ln(tracks x complexity x duration term)</t>
  </si>
  <si>
    <t xml:space="preserve">Plain total steps</t>
  </si>
  <si>
    <t xml:space="preserve">Base steps x 1.15, rounded to 10</t>
  </si>
  <si>
    <t xml:space="preserve">Smooth step centred on 35 tracks</t>
  </si>
  <si>
    <t xml:space="preserve">Plain learning rate (before accumulation)</t>
  </si>
  <si>
    <t xml:space="preserve">Rises with dataset size and sqrt(complexity)</t>
  </si>
  <si>
    <t xml:space="preserve">Volume term</t>
  </si>
  <si>
    <t xml:space="preserve">log2(tracks / 3)</t>
  </si>
  <si>
    <t xml:space="preserve">Rank capacity</t>
  </si>
  <si>
    <t xml:space="preserve">(5.5 + 10 x volume term) x complexity</t>
  </si>
  <si>
    <t xml:space="preserve">Largest rank allowed</t>
  </si>
  <si>
    <t xml:space="preserve">Capped by dataset size</t>
  </si>
  <si>
    <t xml:space="preserve">Plain rank (unrounded)</t>
  </si>
  <si>
    <t xml:space="preserve">Capacity limited by the cap</t>
  </si>
  <si>
    <t xml:space="preserve">Plain planner scale</t>
  </si>
  <si>
    <t xml:space="preserve">0.20 to 0.50</t>
  </si>
  <si>
    <t xml:space="preserve">Plain timing loss weight</t>
  </si>
  <si>
    <t xml:space="preserve">0.05 to 0.15</t>
  </si>
  <si>
    <t xml:space="preserve">Plain caption dropout</t>
  </si>
  <si>
    <t xml:space="preserve">0.50 for clips or fewer than 15 tracks, else 0.35</t>
  </si>
  <si>
    <t xml:space="preserve">Rank multiplier (feedback)</t>
  </si>
  <si>
    <t xml:space="preserve">Instruments and vocals feedback</t>
  </si>
  <si>
    <t xml:space="preserve">Learning-rate multiplier (feedback)</t>
  </si>
  <si>
    <t xml:space="preserve">Instruments Weak x1.15, vocals Overcooked x0.85</t>
  </si>
  <si>
    <t xml:space="preserve">Any Overcooked? (1 = yes)</t>
  </si>
  <si>
    <t xml:space="preserve">Forces caption dropout to at least 0.50</t>
  </si>
  <si>
    <t xml:space="preserve">Extra decay share (feedback)</t>
  </si>
  <si>
    <t xml:space="preserve">Instruments Overcooked adds 5%</t>
  </si>
  <si>
    <t xml:space="preserve">Calibration on? (1 = yes)</t>
  </si>
  <si>
    <t xml:space="preserve">From the Calculator sheet</t>
  </si>
  <si>
    <t xml:space="preserve">Calibration: learning-rate factor</t>
  </si>
  <si>
    <t xml:space="preserve">1 when off or not entered</t>
  </si>
  <si>
    <t xml:space="preserve">Calibration: rank factor</t>
  </si>
  <si>
    <t xml:space="preserve">Calibration: alpha / rank</t>
  </si>
  <si>
    <t xml:space="preserve">Calibration: timing factor</t>
  </si>
  <si>
    <t xml:space="preserve">Calibration: planner factor</t>
  </si>
  <si>
    <t xml:space="preserve">Calibration: dropout shift</t>
  </si>
  <si>
    <t xml:space="preserve">Calibration: decay share</t>
  </si>
  <si>
    <t xml:space="preserve">Blank when off or not entered</t>
  </si>
  <si>
    <t xml:space="preserve">Calibration steps available? (1 = yes)</t>
  </si>
  <si>
    <t xml:space="preserve">Calibration: steps factor</t>
  </si>
  <si>
    <t xml:space="preserve">Calibration: decay shape</t>
  </si>
  <si>
    <t xml:space="preserve">Decay share of the run</t>
  </si>
  <si>
    <t xml:space="preserve">40% by default</t>
  </si>
  <si>
    <t xml:space="preserve">Total steps before peak re-fit</t>
  </si>
  <si>
    <t xml:space="preserve">TOTAL STEPS</t>
  </si>
  <si>
    <t xml:space="preserve">Peak step re-fit when entered</t>
  </si>
  <si>
    <t xml:space="preserve">DECAY STEPS</t>
  </si>
  <si>
    <t xml:space="preserve">Learning rate before accumulation</t>
  </si>
  <si>
    <t xml:space="preserve">Plain x calibration x feedback</t>
  </si>
  <si>
    <t xml:space="preserve">Learning rate after accumulation</t>
  </si>
  <si>
    <t xml:space="preserve">Divided by sqrt(accumulation)</t>
  </si>
  <si>
    <t xml:space="preserve">Rank before rounding</t>
  </si>
  <si>
    <t xml:space="preserve">RANK</t>
  </si>
  <si>
    <t xml:space="preserve">Nearest valid rank (8 to 256)</t>
  </si>
  <si>
    <t xml:space="preserve">PLANNER SCALE</t>
  </si>
  <si>
    <t xml:space="preserve">TIMING LOSS WEIGHT</t>
  </si>
  <si>
    <t xml:space="preserve">Caption dropout before feedback</t>
  </si>
  <si>
    <t xml:space="preserve">CAPTION DROPOUT</t>
  </si>
  <si>
    <t xml:space="preserve">DECAY SHAPE</t>
  </si>
  <si>
    <t xml:space="preserve">Auto: calibration shape, else Cosine after a peak re-fit, else by variance</t>
  </si>
</sst>
</file>

<file path=xl/styles.xml><?xml version="1.0" encoding="utf-8"?>
<styleSheet xmlns="http://schemas.openxmlformats.org/spreadsheetml/2006/main">
  <numFmts count="10">
    <numFmt numFmtId="164" formatCode="General"/>
    <numFmt numFmtId="165" formatCode="#,##0"/>
    <numFmt numFmtId="166" formatCode="0.0"/>
    <numFmt numFmtId="167" formatCode="0"/>
    <numFmt numFmtId="168" formatCode="0.000000"/>
    <numFmt numFmtId="169" formatCode="0.0000"/>
    <numFmt numFmtId="170" formatCode="0.000"/>
    <numFmt numFmtId="171" formatCode="0%"/>
    <numFmt numFmtId="172" formatCode="0.00"/>
    <numFmt numFmtId="173" formatCode="0.00#"/>
  </numFmts>
  <fonts count="31">
    <font>
      <sz val="11"/>
      <color theme="1"/>
      <name val="Calibri"/>
      <family val="2"/>
      <charset val="1"/>
    </font>
    <font>
      <sz val="10"/>
      <name val="Arial"/>
      <family val="0"/>
    </font>
    <font>
      <sz val="10"/>
      <name val="Arial"/>
      <family val="0"/>
    </font>
    <font>
      <sz val="10"/>
      <name val="Arial"/>
      <family val="0"/>
    </font>
    <font>
      <b val="true"/>
      <sz val="20"/>
      <color rgb="FFFFFFFF"/>
      <name val="Aptos Display"/>
      <family val="0"/>
      <charset val="1"/>
    </font>
    <font>
      <i val="true"/>
      <sz val="11"/>
      <color rgb="FFD9E7FF"/>
      <name val="Cambria"/>
      <family val="0"/>
      <charset val="1"/>
    </font>
    <font>
      <b val="true"/>
      <sz val="11"/>
      <color rgb="FF172033"/>
      <name val="Cambria"/>
      <family val="0"/>
      <charset val="1"/>
    </font>
    <font>
      <sz val="10"/>
      <color rgb="FF172033"/>
      <name val="Aptos"/>
      <family val="0"/>
      <charset val="1"/>
    </font>
    <font>
      <sz val="10"/>
      <color rgb="FF64748B"/>
      <name val="Cambria"/>
      <family val="0"/>
      <charset val="1"/>
    </font>
    <font>
      <b val="true"/>
      <sz val="11"/>
      <color rgb="FFFFFFFF"/>
      <name val="Cambria"/>
      <family val="0"/>
      <charset val="1"/>
    </font>
    <font>
      <b val="true"/>
      <sz val="9"/>
      <color rgb="FFFFFFFF"/>
      <name val="Cambria"/>
      <family val="0"/>
      <charset val="1"/>
    </font>
    <font>
      <b val="true"/>
      <sz val="9"/>
      <color rgb="FF172033"/>
      <name val="Cambria"/>
      <family val="0"/>
      <charset val="1"/>
    </font>
    <font>
      <b val="true"/>
      <sz val="16"/>
      <color rgb="FF172033"/>
      <name val="Cambria"/>
      <family val="0"/>
      <charset val="1"/>
    </font>
    <font>
      <b val="true"/>
      <sz val="11"/>
      <color rgb="FF1D4ED8"/>
      <name val="Cambria"/>
      <family val="0"/>
      <charset val="1"/>
    </font>
    <font>
      <b val="true"/>
      <sz val="11"/>
      <name val="Cambria"/>
      <family val="0"/>
      <charset val="1"/>
    </font>
    <font>
      <b val="true"/>
      <sz val="11"/>
      <color rgb="FF0000FF"/>
      <name val="Cambria"/>
      <family val="0"/>
      <charset val="1"/>
    </font>
    <font>
      <b val="true"/>
      <sz val="11"/>
      <color rgb="FF008000"/>
      <name val="Cambria"/>
      <family val="0"/>
      <charset val="1"/>
    </font>
    <font>
      <b val="true"/>
      <sz val="10"/>
      <color rgb="FFFFFFFF"/>
      <name val="Cambria"/>
      <family val="0"/>
      <charset val="1"/>
    </font>
    <font>
      <b val="true"/>
      <sz val="9"/>
      <color rgb="FF64748B"/>
      <name val="Cambria"/>
      <family val="0"/>
      <charset val="1"/>
    </font>
    <font>
      <b val="true"/>
      <sz val="12"/>
      <color rgb="FF172033"/>
      <name val="Cambria"/>
      <family val="0"/>
      <charset val="1"/>
    </font>
    <font>
      <b val="true"/>
      <sz val="11"/>
      <color rgb="FF16A34A"/>
      <name val="Cambria"/>
      <family val="0"/>
      <charset val="1"/>
    </font>
    <font>
      <b val="true"/>
      <sz val="10"/>
      <color rgb="FF172033"/>
      <name val="Cambria"/>
      <family val="0"/>
      <charset val="1"/>
    </font>
    <font>
      <b val="true"/>
      <sz val="12"/>
      <color rgb="FF16A34A"/>
      <name val="Cambria"/>
      <family val="0"/>
      <charset val="1"/>
    </font>
    <font>
      <sz val="9"/>
      <color rgb="FF64748B"/>
      <name val="Cambria"/>
      <family val="0"/>
      <charset val="1"/>
    </font>
    <font>
      <sz val="9"/>
      <color rgb="FF172033"/>
      <name val="Cambria"/>
      <family val="0"/>
      <charset val="1"/>
    </font>
    <font>
      <b val="true"/>
      <sz val="9"/>
      <color rgb="FF92400E"/>
      <name val="Cambria"/>
      <family val="0"/>
      <charset val="1"/>
    </font>
    <font>
      <sz val="10"/>
      <name val="Arial"/>
      <family val="2"/>
    </font>
    <font>
      <b val="true"/>
      <sz val="17"/>
      <color rgb="FFFFFFFF"/>
      <name val="Aptos Display"/>
      <family val="0"/>
      <charset val="1"/>
    </font>
    <font>
      <sz val="10"/>
      <color rgb="FFD9E7FF"/>
      <name val="Cambria"/>
      <family val="0"/>
      <charset val="1"/>
    </font>
    <font>
      <b val="true"/>
      <sz val="12"/>
      <name val="Cambria"/>
      <family val="0"/>
      <charset val="1"/>
    </font>
    <font>
      <b val="true"/>
      <sz val="14"/>
      <name val="Cambria"/>
      <family val="0"/>
      <charset val="1"/>
    </font>
  </fonts>
  <fills count="25">
    <fill>
      <patternFill patternType="none"/>
    </fill>
    <fill>
      <patternFill patternType="gray125"/>
    </fill>
    <fill>
      <patternFill patternType="solid">
        <fgColor rgb="FF172033"/>
        <bgColor rgb="FF202C44"/>
      </patternFill>
    </fill>
    <fill>
      <patternFill patternType="solid">
        <fgColor rgb="FF202C44"/>
        <bgColor rgb="FF172033"/>
      </patternFill>
    </fill>
    <fill>
      <patternFill patternType="solid">
        <fgColor rgb="FFE8EEF7"/>
        <bgColor rgb="FFEAF2FF"/>
      </patternFill>
    </fill>
    <fill>
      <patternFill patternType="solid">
        <fgColor rgb="FFF4F7FB"/>
        <bgColor rgb="FFF2F2F2"/>
      </patternFill>
    </fill>
    <fill>
      <patternFill patternType="solid">
        <fgColor rgb="FFFFFFFF"/>
        <bgColor rgb="FFF4F7FB"/>
      </patternFill>
    </fill>
    <fill>
      <patternFill patternType="solid">
        <fgColor rgb="FF16A34A"/>
        <bgColor rgb="FF2E7D32"/>
      </patternFill>
    </fill>
    <fill>
      <patternFill patternType="solid">
        <fgColor rgb="FFDCFCE7"/>
        <bgColor rgb="FFDFF7E7"/>
      </patternFill>
    </fill>
    <fill>
      <patternFill patternType="solid">
        <fgColor rgb="FFFFF4C2"/>
        <bgColor rgb="FFFEF3C7"/>
      </patternFill>
    </fill>
    <fill>
      <patternFill patternType="solid">
        <fgColor rgb="FF3B82F6"/>
        <bgColor rgb="FF64748B"/>
      </patternFill>
    </fill>
    <fill>
      <patternFill patternType="solid">
        <fgColor rgb="FFEAF2FF"/>
        <bgColor rgb="FFE8EEF7"/>
      </patternFill>
    </fill>
    <fill>
      <patternFill patternType="solid">
        <fgColor rgb="FFFFF2CC"/>
        <bgColor rgb="FFFEF3C7"/>
      </patternFill>
    </fill>
    <fill>
      <patternFill patternType="solid">
        <fgColor rgb="FFD9EAF7"/>
        <bgColor rgb="FFD9E7FF"/>
      </patternFill>
    </fill>
    <fill>
      <patternFill patternType="solid">
        <fgColor rgb="FFDFF7E7"/>
        <bgColor rgb="FFDCFCE7"/>
      </patternFill>
    </fill>
    <fill>
      <patternFill patternType="solid">
        <fgColor rgb="FFFEF3C7"/>
        <bgColor rgb="FFFFF4C2"/>
      </patternFill>
    </fill>
    <fill>
      <patternFill patternType="solid">
        <fgColor rgb="FFE2F0D9"/>
        <bgColor rgb="FFDFF7E7"/>
      </patternFill>
    </fill>
    <fill>
      <patternFill patternType="solid">
        <fgColor rgb="FF5B2C83"/>
        <bgColor rgb="FF660066"/>
      </patternFill>
    </fill>
    <fill>
      <patternFill patternType="solid">
        <fgColor rgb="FFD9E1F2"/>
        <bgColor rgb="FFD9E2EC"/>
      </patternFill>
    </fill>
    <fill>
      <patternFill patternType="solid">
        <fgColor rgb="FFF2F2F2"/>
        <bgColor rgb="FFF4F7FB"/>
      </patternFill>
    </fill>
    <fill>
      <patternFill patternType="solid">
        <fgColor rgb="FF595959"/>
        <bgColor rgb="FF64748B"/>
      </patternFill>
    </fill>
    <fill>
      <patternFill patternType="solid">
        <fgColor rgb="FF2E7D32"/>
        <bgColor rgb="FF008000"/>
      </patternFill>
    </fill>
    <fill>
      <patternFill patternType="solid">
        <fgColor rgb="FF1F4E79"/>
        <bgColor rgb="FF1D4ED8"/>
      </patternFill>
    </fill>
    <fill>
      <patternFill patternType="solid">
        <fgColor rgb="FFC55A11"/>
        <bgColor rgb="FF92400E"/>
      </patternFill>
    </fill>
    <fill>
      <patternFill patternType="solid">
        <fgColor rgb="FFEDEDED"/>
        <bgColor rgb="FFE8EEF7"/>
      </patternFill>
    </fill>
  </fills>
  <borders count="4">
    <border diagonalUp="false" diagonalDown="false">
      <left/>
      <right/>
      <top/>
      <bottom/>
      <diagonal/>
    </border>
    <border diagonalUp="false" diagonalDown="false">
      <left style="thin">
        <color rgb="FFD9E2EC"/>
      </left>
      <right style="thin">
        <color rgb="FFD9E2EC"/>
      </right>
      <top style="thin">
        <color rgb="FFD9E2EC"/>
      </top>
      <bottom style="thin">
        <color rgb="FFD9E2EC"/>
      </bottom>
      <diagonal/>
    </border>
    <border diagonalUp="false" diagonalDown="false">
      <left/>
      <right/>
      <top/>
      <bottom style="thin">
        <color rgb="FFD9E2EC"/>
      </bottom>
      <diagonal/>
    </border>
    <border diagonalUp="false" diagonalDown="false">
      <left style="medium">
        <color rgb="FFB8C6D9"/>
      </left>
      <right style="medium">
        <color rgb="FFB8C6D9"/>
      </right>
      <top style="medium">
        <color rgb="FFB8C6D9"/>
      </top>
      <bottom style="medium">
        <color rgb="FFB8C6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3" borderId="0" xfId="0" applyFont="true" applyBorder="true" applyAlignment="true" applyProtection="false">
      <alignment horizontal="general" vertical="center" textRotation="0" wrapText="false" indent="0" shrinkToFit="false"/>
      <protection locked="true" hidden="false"/>
    </xf>
    <xf numFmtId="164" fontId="6" fillId="4" borderId="0" xfId="0" applyFont="true" applyBorder="true" applyAlignment="true" applyProtection="false">
      <alignment horizontal="general" vertical="center" textRotation="0" wrapText="true" indent="0" shrinkToFit="false"/>
      <protection locked="true" hidden="false"/>
    </xf>
    <xf numFmtId="164" fontId="7" fillId="5" borderId="0" xfId="0" applyFont="true" applyBorder="false" applyAlignment="true" applyProtection="false">
      <alignment horizontal="general" vertical="center" textRotation="0" wrapText="true" indent="0" shrinkToFit="false"/>
      <protection locked="true" hidden="false"/>
    </xf>
    <xf numFmtId="164" fontId="8" fillId="6" borderId="0" xfId="0" applyFont="true" applyBorder="true" applyAlignment="true" applyProtection="false">
      <alignment horizontal="general" vertical="center" textRotation="0" wrapText="true" indent="0" shrinkToFit="false"/>
      <protection locked="true" hidden="false"/>
    </xf>
    <xf numFmtId="164" fontId="9" fillId="3" borderId="0" xfId="0" applyFont="true" applyBorder="true" applyAlignment="true" applyProtection="false">
      <alignment horizontal="general" vertical="center" textRotation="0" wrapText="false" indent="0" shrinkToFit="false"/>
      <protection locked="true" hidden="false"/>
    </xf>
    <xf numFmtId="164" fontId="10" fillId="7" borderId="1" xfId="0" applyFont="true" applyBorder="true" applyAlignment="true" applyProtection="false">
      <alignment horizontal="general" vertical="center" textRotation="0" wrapText="false" indent="0" shrinkToFit="false"/>
      <protection locked="true" hidden="false"/>
    </xf>
    <xf numFmtId="164" fontId="11" fillId="4" borderId="2" xfId="0" applyFont="true" applyBorder="true" applyAlignment="true" applyProtection="false">
      <alignment horizontal="general" vertical="center" textRotation="0" wrapText="true" indent="0" shrinkToFit="false"/>
      <protection locked="true" hidden="false"/>
    </xf>
    <xf numFmtId="164" fontId="12" fillId="8" borderId="1" xfId="0" applyFont="true" applyBorder="true" applyAlignment="true" applyProtection="false">
      <alignment horizontal="center" vertical="center" textRotation="0" wrapText="true" indent="0" shrinkToFit="false"/>
      <protection locked="true" hidden="false"/>
    </xf>
    <xf numFmtId="164" fontId="7" fillId="5" borderId="2" xfId="0" applyFont="true" applyBorder="true" applyAlignment="true" applyProtection="false">
      <alignment horizontal="general" vertical="center" textRotation="0" wrapText="true" indent="0" shrinkToFit="false"/>
      <protection locked="true" hidden="false"/>
    </xf>
    <xf numFmtId="165" fontId="13" fillId="9" borderId="3" xfId="0" applyFont="true" applyBorder="true" applyAlignment="true" applyProtection="false">
      <alignment horizontal="center" vertical="center" textRotation="0" wrapText="true" indent="0" shrinkToFit="false"/>
      <protection locked="true" hidden="false"/>
    </xf>
    <xf numFmtId="166" fontId="13" fillId="9" borderId="3" xfId="0" applyFont="true" applyBorder="true" applyAlignment="true" applyProtection="false">
      <alignment horizontal="center" vertical="center" textRotation="0" wrapText="true" indent="0" shrinkToFit="false"/>
      <protection locked="true" hidden="false"/>
    </xf>
    <xf numFmtId="167" fontId="13" fillId="9" borderId="3" xfId="0" applyFont="true" applyBorder="true" applyAlignment="true" applyProtection="false">
      <alignment horizontal="center" vertical="center" textRotation="0" wrapText="true" indent="0" shrinkToFit="false"/>
      <protection locked="true" hidden="false"/>
    </xf>
    <xf numFmtId="164" fontId="10" fillId="10" borderId="1" xfId="0" applyFont="true" applyBorder="true" applyAlignment="true" applyProtection="false">
      <alignment horizontal="general" vertical="center" textRotation="0" wrapText="false" indent="0" shrinkToFit="false"/>
      <protection locked="true" hidden="false"/>
    </xf>
    <xf numFmtId="164" fontId="12" fillId="11" borderId="1" xfId="0" applyFont="true" applyBorder="true" applyAlignment="true" applyProtection="false">
      <alignment horizontal="center" vertical="center" textRotation="0" wrapText="true" indent="0" shrinkToFit="false"/>
      <protection locked="true" hidden="false"/>
    </xf>
    <xf numFmtId="164" fontId="13" fillId="9" borderId="3" xfId="0" applyFont="true" applyBorder="true" applyAlignment="true" applyProtection="false">
      <alignment horizontal="center" vertical="center" textRotation="0" wrapText="true" indent="0" shrinkToFit="false"/>
      <protection locked="true" hidden="false"/>
    </xf>
    <xf numFmtId="164" fontId="14" fillId="5" borderId="2" xfId="0" applyFont="true" applyBorder="true" applyAlignment="true" applyProtection="false">
      <alignment horizontal="general" vertical="center" textRotation="0" wrapText="true" indent="0" shrinkToFit="false"/>
      <protection locked="true" hidden="false"/>
    </xf>
    <xf numFmtId="164" fontId="15" fillId="12" borderId="2" xfId="0" applyFont="true" applyBorder="true" applyAlignment="true" applyProtection="false">
      <alignment horizontal="general" vertical="center" textRotation="0" wrapText="true" indent="0" shrinkToFit="false"/>
      <protection locked="true" hidden="false"/>
    </xf>
    <xf numFmtId="164" fontId="7" fillId="5" borderId="2" xfId="0" applyFont="true" applyBorder="true" applyAlignment="true" applyProtection="false">
      <alignment horizontal="general" vertical="top" textRotation="0" wrapText="true" indent="0" shrinkToFit="false"/>
      <protection locked="true" hidden="false"/>
    </xf>
    <xf numFmtId="164" fontId="14" fillId="13" borderId="0" xfId="0" applyFont="true" applyBorder="false" applyAlignment="true" applyProtection="false">
      <alignment horizontal="general" vertical="center" textRotation="0" wrapText="true" indent="0" shrinkToFit="false"/>
      <protection locked="true" hidden="false"/>
    </xf>
    <xf numFmtId="168" fontId="15" fillId="12" borderId="0" xfId="0" applyFont="true" applyBorder="false" applyAlignment="true" applyProtection="false">
      <alignment horizontal="general" vertical="center" textRotation="0" wrapText="true" indent="0" shrinkToFit="false"/>
      <protection locked="true" hidden="false"/>
    </xf>
    <xf numFmtId="169" fontId="16" fillId="5" borderId="0" xfId="0" applyFont="true" applyBorder="false" applyAlignment="true" applyProtection="false">
      <alignment horizontal="general" vertical="center" textRotation="0" wrapText="true" indent="0" shrinkToFit="false"/>
      <protection locked="true" hidden="false"/>
    </xf>
    <xf numFmtId="164" fontId="17" fillId="3" borderId="0" xfId="0" applyFont="true" applyBorder="true" applyAlignment="true" applyProtection="false">
      <alignment horizontal="general" vertical="center" textRotation="0" wrapText="false" indent="0" shrinkToFit="false"/>
      <protection locked="true" hidden="false"/>
    </xf>
    <xf numFmtId="164" fontId="18" fillId="5" borderId="1" xfId="0" applyFont="true" applyBorder="true" applyAlignment="true" applyProtection="false">
      <alignment horizontal="general" vertical="center" textRotation="0" wrapText="true" indent="0" shrinkToFit="false"/>
      <protection locked="true" hidden="false"/>
    </xf>
    <xf numFmtId="164" fontId="19" fillId="6" borderId="1" xfId="0" applyFont="true" applyBorder="true" applyAlignment="true" applyProtection="false">
      <alignment horizontal="center" vertical="bottom" textRotation="0" wrapText="fals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20" fillId="8" borderId="1" xfId="0" applyFont="true" applyBorder="true" applyAlignment="true" applyProtection="false">
      <alignment horizontal="center" vertical="center" textRotation="0" wrapText="true" indent="0" shrinkToFit="false"/>
      <protection locked="true" hidden="false"/>
    </xf>
    <xf numFmtId="164" fontId="18" fillId="5" borderId="2" xfId="0" applyFont="true" applyBorder="true" applyAlignment="true" applyProtection="false">
      <alignment horizontal="general" vertical="center" textRotation="0" wrapText="true" indent="0" shrinkToFit="false"/>
      <protection locked="true" hidden="false"/>
    </xf>
    <xf numFmtId="164" fontId="21" fillId="6" borderId="2" xfId="0" applyFont="true" applyBorder="true" applyAlignment="true" applyProtection="false">
      <alignment horizontal="center" vertical="bottom" textRotation="0" wrapText="false" indent="0" shrinkToFit="false"/>
      <protection locked="true" hidden="false"/>
    </xf>
    <xf numFmtId="164" fontId="20" fillId="14" borderId="1" xfId="0" applyFont="true" applyBorder="true" applyAlignment="true" applyProtection="false">
      <alignment horizontal="center" vertical="center" textRotation="0" wrapText="true" indent="0" shrinkToFit="false"/>
      <protection locked="true" hidden="false"/>
    </xf>
    <xf numFmtId="164" fontId="9" fillId="7" borderId="0" xfId="0" applyFont="true" applyBorder="true" applyAlignment="true" applyProtection="false">
      <alignment horizontal="general" vertical="center" textRotation="0" wrapText="false" indent="0" shrinkToFit="false"/>
      <protection locked="true" hidden="false"/>
    </xf>
    <xf numFmtId="164" fontId="21" fillId="5" borderId="2" xfId="0" applyFont="true" applyBorder="true" applyAlignment="true" applyProtection="false">
      <alignment horizontal="general" vertical="center" textRotation="0" wrapText="true" indent="0" shrinkToFit="false"/>
      <protection locked="true" hidden="false"/>
    </xf>
    <xf numFmtId="165" fontId="22" fillId="14" borderId="1" xfId="0" applyFont="true" applyBorder="true" applyAlignment="true" applyProtection="false">
      <alignment horizontal="center" vertical="center" textRotation="0" wrapText="true" indent="0" shrinkToFit="false"/>
      <protection locked="true" hidden="false"/>
    </xf>
    <xf numFmtId="170" fontId="22" fillId="14" borderId="1" xfId="0" applyFont="true" applyBorder="true" applyAlignment="true" applyProtection="false">
      <alignment horizontal="center" vertical="center" textRotation="0" wrapText="true" indent="0" shrinkToFit="false"/>
      <protection locked="true" hidden="false"/>
    </xf>
    <xf numFmtId="164" fontId="22" fillId="14" borderId="1" xfId="0" applyFont="true" applyBorder="true" applyAlignment="true" applyProtection="false">
      <alignment horizontal="center" vertical="center" textRotation="0" wrapText="true" indent="0" shrinkToFit="false"/>
      <protection locked="true" hidden="false"/>
    </xf>
    <xf numFmtId="168" fontId="22" fillId="14" borderId="1" xfId="0" applyFont="true" applyBorder="true" applyAlignment="true" applyProtection="false">
      <alignment horizontal="center" vertical="center" textRotation="0" wrapText="true" indent="0" shrinkToFit="false"/>
      <protection locked="true" hidden="false"/>
    </xf>
    <xf numFmtId="164" fontId="23" fillId="5" borderId="2" xfId="0" applyFont="true" applyBorder="true" applyAlignment="true" applyProtection="false">
      <alignment horizontal="general" vertical="center" textRotation="0" wrapText="true" indent="0" shrinkToFit="false"/>
      <protection locked="true" hidden="false"/>
    </xf>
    <xf numFmtId="164" fontId="21" fillId="5" borderId="2" xfId="0" applyFont="true" applyBorder="true" applyAlignment="true" applyProtection="false">
      <alignment horizontal="center" vertical="bottom" textRotation="0" wrapText="false" indent="0" shrinkToFit="false"/>
      <protection locked="true" hidden="false"/>
    </xf>
    <xf numFmtId="171" fontId="22" fillId="14" borderId="1" xfId="0" applyFont="true" applyBorder="true" applyAlignment="true" applyProtection="false">
      <alignment horizontal="center" vertical="center" textRotation="0" wrapText="true" indent="0" shrinkToFit="false"/>
      <protection locked="true" hidden="false"/>
    </xf>
    <xf numFmtId="172" fontId="20" fillId="14" borderId="1" xfId="0" applyFont="true" applyBorder="true" applyAlignment="true" applyProtection="false">
      <alignment horizontal="center" vertical="center" textRotation="0" wrapText="true" indent="0" shrinkToFit="false"/>
      <protection locked="true" hidden="false"/>
    </xf>
    <xf numFmtId="164" fontId="24" fillId="6" borderId="0" xfId="0" applyFont="true" applyBorder="true" applyAlignment="true" applyProtection="false">
      <alignment horizontal="general" vertical="center" textRotation="0" wrapText="true" indent="0" shrinkToFit="false"/>
      <protection locked="true" hidden="false"/>
    </xf>
    <xf numFmtId="164" fontId="25" fillId="15" borderId="0" xfId="0" applyFont="true" applyBorder="true" applyAlignment="true" applyProtection="false">
      <alignment horizontal="general" vertical="center" textRotation="0" wrapText="true" indent="0" shrinkToFit="false"/>
      <protection locked="true" hidden="false"/>
    </xf>
    <xf numFmtId="164" fontId="7" fillId="5" borderId="0" xfId="0" applyFont="true" applyBorder="true" applyAlignment="true" applyProtection="false">
      <alignment horizontal="general" vertical="center" textRotation="0" wrapText="true" indent="0" shrinkToFit="false"/>
      <protection locked="true" hidden="false"/>
    </xf>
    <xf numFmtId="164" fontId="27" fillId="2" borderId="2" xfId="0" applyFont="true" applyBorder="true" applyAlignment="true" applyProtection="false">
      <alignment horizontal="general" vertical="center" textRotation="0" wrapText="true" indent="0" shrinkToFit="false"/>
      <protection locked="true" hidden="false"/>
    </xf>
    <xf numFmtId="164" fontId="28" fillId="3" borderId="2" xfId="0" applyFont="true" applyBorder="true" applyAlignment="true" applyProtection="false">
      <alignment horizontal="general" vertical="center" textRotation="0" wrapText="true" indent="0" shrinkToFit="false"/>
      <protection locked="true" hidden="false"/>
    </xf>
    <xf numFmtId="164" fontId="7" fillId="0" borderId="2" xfId="0" applyFont="true" applyBorder="true" applyAlignment="true" applyProtection="false">
      <alignment horizontal="general" vertical="center" textRotation="0" wrapText="true" indent="0" shrinkToFit="false"/>
      <protection locked="true" hidden="false"/>
    </xf>
    <xf numFmtId="164" fontId="7" fillId="12" borderId="2" xfId="0" applyFont="true" applyBorder="true" applyAlignment="true" applyProtection="false">
      <alignment horizontal="general" vertical="center" textRotation="0" wrapText="true" indent="0" shrinkToFit="false"/>
      <protection locked="true" hidden="false"/>
    </xf>
    <xf numFmtId="164" fontId="7" fillId="16" borderId="2" xfId="0" applyFont="true" applyBorder="true" applyAlignment="true" applyProtection="false">
      <alignment horizontal="general" vertical="center" textRotation="0" wrapText="true" indent="0" shrinkToFit="false"/>
      <protection locked="true" hidden="false"/>
    </xf>
    <xf numFmtId="164" fontId="7" fillId="17" borderId="2" xfId="0" applyFont="true" applyBorder="true" applyAlignment="true" applyProtection="false">
      <alignment horizontal="general" vertical="center" textRotation="0" wrapText="true" indent="0" shrinkToFit="false"/>
      <protection locked="true" hidden="false"/>
    </xf>
    <xf numFmtId="164" fontId="7" fillId="18" borderId="2" xfId="0" applyFont="true" applyBorder="true" applyAlignment="true" applyProtection="false">
      <alignment horizontal="general" vertical="center" textRotation="0" wrapText="true" indent="0" shrinkToFit="false"/>
      <protection locked="true" hidden="false"/>
    </xf>
    <xf numFmtId="164" fontId="13" fillId="9" borderId="2" xfId="0" applyFont="true" applyBorder="true" applyAlignment="true" applyProtection="false">
      <alignment horizontal="general" vertical="center" textRotation="0" wrapText="true" indent="0" shrinkToFit="false"/>
      <protection locked="true" hidden="false"/>
    </xf>
    <xf numFmtId="164" fontId="7" fillId="19" borderId="2" xfId="0" applyFont="true" applyBorder="true" applyAlignment="true" applyProtection="false">
      <alignment horizontal="general" vertical="center" textRotation="0" wrapText="true" indent="0" shrinkToFit="false"/>
      <protection locked="true" hidden="false"/>
    </xf>
    <xf numFmtId="167" fontId="13" fillId="9" borderId="2" xfId="0" applyFont="true" applyBorder="true" applyAlignment="true" applyProtection="false">
      <alignment horizontal="general" vertical="center" textRotation="0" wrapText="true" indent="0" shrinkToFit="false"/>
      <protection locked="true" hidden="false"/>
    </xf>
    <xf numFmtId="166" fontId="13" fillId="9" borderId="2" xfId="0" applyFont="true" applyBorder="true" applyAlignment="true" applyProtection="false">
      <alignment horizontal="general" vertical="center" textRotation="0" wrapText="true" indent="0" shrinkToFit="false"/>
      <protection locked="true" hidden="false"/>
    </xf>
    <xf numFmtId="173" fontId="13" fillId="9" borderId="2" xfId="0" applyFont="true" applyBorder="true" applyAlignment="true" applyProtection="false">
      <alignment horizontal="general" vertical="center" textRotation="0" wrapText="true" indent="0" shrinkToFit="false"/>
      <protection locked="true" hidden="false"/>
    </xf>
    <xf numFmtId="168" fontId="13" fillId="9" borderId="2" xfId="0" applyFont="true" applyBorder="true" applyAlignment="true" applyProtection="false">
      <alignment horizontal="general" vertical="center" textRotation="0" wrapText="true" indent="0" shrinkToFit="false"/>
      <protection locked="true" hidden="false"/>
    </xf>
    <xf numFmtId="172" fontId="13" fillId="9" borderId="2" xfId="0" applyFont="true" applyBorder="true" applyAlignment="true" applyProtection="false">
      <alignment horizontal="general" vertical="center" textRotation="0" wrapText="true" indent="0" shrinkToFit="false"/>
      <protection locked="true" hidden="false"/>
    </xf>
    <xf numFmtId="164" fontId="14" fillId="0" borderId="2" xfId="0" applyFont="true" applyBorder="true" applyAlignment="true" applyProtection="false">
      <alignment horizontal="general" vertical="center" textRotation="0" wrapText="true" indent="0" shrinkToFit="false"/>
      <protection locked="true" hidden="false"/>
    </xf>
    <xf numFmtId="167" fontId="15" fillId="12" borderId="2" xfId="0" applyFont="true" applyBorder="true" applyAlignment="true" applyProtection="false">
      <alignment horizontal="general" vertical="center" textRotation="0" wrapText="true" indent="0" shrinkToFit="false"/>
      <protection locked="true" hidden="false"/>
    </xf>
    <xf numFmtId="164" fontId="7" fillId="19" borderId="2" xfId="0" applyFont="true" applyBorder="true" applyAlignment="true" applyProtection="false">
      <alignment horizontal="general" vertical="top" textRotation="0" wrapText="true" indent="0" shrinkToFit="false"/>
      <protection locked="true" hidden="false"/>
    </xf>
    <xf numFmtId="164" fontId="7" fillId="20" borderId="2" xfId="0" applyFont="true" applyBorder="true" applyAlignment="true" applyProtection="false">
      <alignment horizontal="general" vertical="center" textRotation="0" wrapText="true" indent="0" shrinkToFit="false"/>
      <protection locked="true" hidden="false"/>
    </xf>
    <xf numFmtId="164" fontId="29" fillId="17" borderId="2" xfId="0" applyFont="true" applyBorder="true" applyAlignment="true" applyProtection="false">
      <alignment horizontal="general" vertical="center" textRotation="0" wrapText="true" indent="0" shrinkToFit="false"/>
      <protection locked="true" hidden="false"/>
    </xf>
    <xf numFmtId="168" fontId="7" fillId="18" borderId="2" xfId="0" applyFont="true" applyBorder="true" applyAlignment="true" applyProtection="false">
      <alignment horizontal="general" vertical="center" textRotation="0" wrapText="true" indent="0" shrinkToFit="false"/>
      <protection locked="true" hidden="false"/>
    </xf>
    <xf numFmtId="168" fontId="20" fillId="14" borderId="2" xfId="0" applyFont="true" applyBorder="true" applyAlignment="true" applyProtection="false">
      <alignment horizontal="general" vertical="center" textRotation="0" wrapText="true" indent="0" shrinkToFit="false"/>
      <protection locked="true" hidden="false"/>
    </xf>
    <xf numFmtId="164" fontId="20" fillId="14" borderId="2" xfId="0" applyFont="true" applyBorder="true" applyAlignment="true" applyProtection="false">
      <alignment horizontal="general" vertical="center"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12"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7" fillId="21" borderId="2" xfId="0" applyFont="true" applyBorder="true" applyAlignment="true" applyProtection="false">
      <alignment horizontal="general" vertical="center" textRotation="0" wrapText="true" indent="0" shrinkToFit="false"/>
      <protection locked="true" hidden="false"/>
    </xf>
    <xf numFmtId="172" fontId="7" fillId="0" borderId="2" xfId="0" applyFont="true" applyBorder="true" applyAlignment="true" applyProtection="false">
      <alignment horizontal="general" vertical="center" textRotation="0" wrapText="true" indent="0" shrinkToFit="false"/>
      <protection locked="true" hidden="false"/>
    </xf>
    <xf numFmtId="167" fontId="7" fillId="0" borderId="2" xfId="0" applyFont="true" applyBorder="true" applyAlignment="true" applyProtection="false">
      <alignment horizontal="general" vertical="center" textRotation="0" wrapText="true" indent="0" shrinkToFit="false"/>
      <protection locked="true" hidden="false"/>
    </xf>
    <xf numFmtId="164" fontId="7" fillId="22" borderId="2" xfId="0" applyFont="true" applyBorder="true" applyAlignment="true" applyProtection="false">
      <alignment horizontal="general" vertical="center" textRotation="0" wrapText="true" indent="0" shrinkToFit="false"/>
      <protection locked="true" hidden="false"/>
    </xf>
    <xf numFmtId="164" fontId="7" fillId="23" borderId="2" xfId="0" applyFont="true" applyBorder="true" applyAlignment="true" applyProtection="false">
      <alignment horizontal="general" vertical="center" textRotation="0" wrapText="tru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6" fontId="7" fillId="0" borderId="2" xfId="0" applyFont="true" applyBorder="true" applyAlignment="true" applyProtection="false">
      <alignment horizontal="general" vertical="center" textRotation="0" wrapText="true" indent="0" shrinkToFit="false"/>
      <protection locked="true" hidden="false"/>
    </xf>
    <xf numFmtId="170" fontId="7" fillId="0" borderId="2" xfId="0" applyFont="true" applyBorder="true" applyAlignment="true" applyProtection="false">
      <alignment horizontal="general" vertical="center" textRotation="0" wrapText="true" indent="0" shrinkToFit="false"/>
      <protection locked="true" hidden="false"/>
    </xf>
    <xf numFmtId="168" fontId="7" fillId="0" borderId="2" xfId="0" applyFont="true" applyBorder="true" applyAlignment="true" applyProtection="false">
      <alignment horizontal="general" vertical="center" textRotation="0" wrapText="true" indent="0" shrinkToFit="false"/>
      <protection locked="true" hidden="false"/>
    </xf>
    <xf numFmtId="164" fontId="7" fillId="24" borderId="2" xfId="0" applyFont="true" applyBorder="true" applyAlignment="true" applyProtection="false">
      <alignment horizontal="general" vertical="center" textRotation="0" wrapText="true" indent="0" shrinkToFit="false"/>
      <protection locked="true" hidden="false"/>
    </xf>
    <xf numFmtId="170" fontId="7" fillId="24" borderId="2" xfId="0" applyFont="true" applyBorder="true" applyAlignment="true" applyProtection="false">
      <alignment horizontal="general" vertical="center" textRotation="0" wrapText="true" indent="0" shrinkToFit="false"/>
      <protection locked="true" hidden="false"/>
    </xf>
    <xf numFmtId="172" fontId="7" fillId="24" borderId="2" xfId="0" applyFont="true" applyBorder="true" applyAlignment="true" applyProtection="false">
      <alignment horizontal="general" vertical="center" textRotation="0" wrapText="true" indent="0" shrinkToFit="false"/>
      <protection locked="true" hidden="false"/>
    </xf>
    <xf numFmtId="167" fontId="7" fillId="24" borderId="2" xfId="0" applyFont="true" applyBorder="true" applyAlignment="true" applyProtection="false">
      <alignment horizontal="general" vertical="center" textRotation="0" wrapText="true" indent="0" shrinkToFit="false"/>
      <protection locked="true" hidden="false"/>
    </xf>
    <xf numFmtId="168" fontId="7" fillId="24" borderId="2" xfId="0" applyFont="true" applyBorder="true" applyAlignment="true" applyProtection="false">
      <alignment horizontal="general" vertical="center" textRotation="0" wrapText="true" indent="0" shrinkToFit="false"/>
      <protection locked="true" hidden="false"/>
    </xf>
    <xf numFmtId="166" fontId="7" fillId="24" borderId="2" xfId="0" applyFont="true" applyBorder="true" applyAlignment="true" applyProtection="false">
      <alignment horizontal="general" vertical="center" textRotation="0" wrapText="true" indent="0" shrinkToFit="false"/>
      <protection locked="true" hidden="false"/>
    </xf>
    <xf numFmtId="173" fontId="7" fillId="0" borderId="2" xfId="0" applyFont="true" applyBorder="true" applyAlignment="true" applyProtection="false">
      <alignment horizontal="general" vertical="center" textRotation="0" wrapText="true" indent="0" shrinkToFit="false"/>
      <protection locked="true" hidden="false"/>
    </xf>
    <xf numFmtId="173" fontId="7" fillId="24" borderId="2"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2F2F2"/>
      <rgbColor rgb="FFFF00FF"/>
      <rgbColor rgb="FF00FFFF"/>
      <rgbColor rgb="FF800000"/>
      <rgbColor rgb="FF008000"/>
      <rgbColor rgb="FF000080"/>
      <rgbColor rgb="FF808000"/>
      <rgbColor rgb="FF800080"/>
      <rgbColor rgb="FF2E7D32"/>
      <rgbColor rgb="FFB8C6D9"/>
      <rgbColor rgb="FF595959"/>
      <rgbColor rgb="FFD9EAF7"/>
      <rgbColor rgb="FF7C3AED"/>
      <rgbColor rgb="FFFFF4C2"/>
      <rgbColor rgb="FFDCFCE7"/>
      <rgbColor rgb="FF660066"/>
      <rgbColor rgb="FFFF8080"/>
      <rgbColor rgb="FF1D4ED8"/>
      <rgbColor rgb="FFD9E1F2"/>
      <rgbColor rgb="FF000080"/>
      <rgbColor rgb="FFFF00FF"/>
      <rgbColor rgb="FFF4F7FB"/>
      <rgbColor rgb="FF00FFFF"/>
      <rgbColor rgb="FF800080"/>
      <rgbColor rgb="FF800000"/>
      <rgbColor rgb="FF1F4E79"/>
      <rgbColor rgb="FF0000FF"/>
      <rgbColor rgb="FF00CCFF"/>
      <rgbColor rgb="FFDFF7E7"/>
      <rgbColor rgb="FFE2F0D9"/>
      <rgbColor rgb="FFFEF3C7"/>
      <rgbColor rgb="FFD9E2EC"/>
      <rgbColor rgb="FFEDEDED"/>
      <rgbColor rgb="FFD9E7FF"/>
      <rgbColor rgb="FFFFF2CC"/>
      <rgbColor rgb="FF3B82F6"/>
      <rgbColor rgb="FF33CCCC"/>
      <rgbColor rgb="FF99CC00"/>
      <rgbColor rgb="FFE8EEF7"/>
      <rgbColor rgb="FFFF9900"/>
      <rgbColor rgb="FFC55A11"/>
      <rgbColor rgb="FF64748B"/>
      <rgbColor rgb="FFEAF2FF"/>
      <rgbColor rgb="FF172033"/>
      <rgbColor rgb="FF16A34A"/>
      <rgbColor rgb="FF003300"/>
      <rgbColor rgb="FF333300"/>
      <rgbColor rgb="FF92400E"/>
      <rgbColor rgb="FF993366"/>
      <rgbColor rgb="FF5B2C83"/>
      <rgbColor rgb="FF202C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A34A"/>
    <pageSetUpPr fitToPage="true"/>
  </sheetPr>
  <dimension ref="A1:J5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0"/>
    <col collapsed="false" customWidth="true" hidden="false" outlineLevel="0" max="2" min="2" style="1" width="19"/>
    <col collapsed="false" customWidth="true" hidden="false" outlineLevel="0" max="3" min="3" style="1" width="17"/>
    <col collapsed="false" customWidth="true" hidden="false" outlineLevel="0" max="4" min="4" style="1" width="54"/>
    <col collapsed="false" customWidth="true" hidden="false" outlineLevel="0" max="5" min="5" style="1" width="3"/>
    <col collapsed="false" customWidth="true" hidden="false" outlineLevel="0" max="6" min="6" style="1" width="22"/>
    <col collapsed="false" customWidth="true" hidden="false" outlineLevel="0" max="7" min="7" style="1" width="18"/>
    <col collapsed="false" customWidth="true" hidden="false" outlineLevel="0" max="8" min="8" style="1" width="22"/>
    <col collapsed="false" customWidth="true" hidden="false" outlineLevel="0" max="9" min="9" style="1" width="18"/>
    <col collapsed="false" customWidth="true" hidden="false" outlineLevel="0" max="10" min="10" style="1" width="22"/>
  </cols>
  <sheetData>
    <row r="1" customFormat="false" ht="42" hidden="false" customHeight="true" outlineLevel="0" collapsed="false">
      <c r="A1" s="2" t="s">
        <v>0</v>
      </c>
      <c r="B1" s="2"/>
      <c r="C1" s="2"/>
      <c r="D1" s="2"/>
      <c r="E1" s="2"/>
      <c r="F1" s="2"/>
      <c r="G1" s="2"/>
      <c r="H1" s="2"/>
      <c r="I1" s="2"/>
      <c r="J1" s="2"/>
    </row>
    <row r="2" customFormat="false" ht="27.75" hidden="false" customHeight="true" outlineLevel="0" collapsed="false">
      <c r="A2" s="3" t="s">
        <v>1</v>
      </c>
      <c r="B2" s="3"/>
      <c r="C2" s="3"/>
      <c r="D2" s="3"/>
      <c r="E2" s="3"/>
      <c r="F2" s="3"/>
      <c r="G2" s="3"/>
      <c r="H2" s="3"/>
      <c r="I2" s="3"/>
      <c r="J2" s="3"/>
    </row>
    <row r="3" customFormat="false" ht="22.5" hidden="false" customHeight="true" outlineLevel="0" collapsed="false">
      <c r="A3" s="4" t="s">
        <v>2</v>
      </c>
      <c r="B3" s="4"/>
      <c r="C3" s="4"/>
      <c r="D3" s="4"/>
      <c r="E3" s="5"/>
      <c r="F3" s="4" t="s">
        <v>3</v>
      </c>
      <c r="G3" s="4"/>
      <c r="H3" s="4"/>
      <c r="I3" s="4"/>
      <c r="J3" s="4"/>
    </row>
    <row r="4" customFormat="false" ht="22.5" hidden="false" customHeight="true" outlineLevel="0" collapsed="false">
      <c r="A4" s="6" t="s">
        <v>4</v>
      </c>
      <c r="B4" s="6"/>
      <c r="C4" s="6"/>
      <c r="D4" s="6"/>
      <c r="E4" s="6"/>
      <c r="F4" s="6"/>
      <c r="G4" s="6"/>
      <c r="H4" s="6"/>
      <c r="I4" s="6"/>
      <c r="J4" s="6"/>
    </row>
    <row r="5" customFormat="false" ht="30" hidden="false" customHeight="true" outlineLevel="0" collapsed="false">
      <c r="A5" s="7" t="s">
        <v>5</v>
      </c>
      <c r="B5" s="7"/>
      <c r="C5" s="7"/>
      <c r="D5" s="7"/>
      <c r="E5" s="5"/>
      <c r="F5" s="8" t="s">
        <v>6</v>
      </c>
      <c r="G5" s="8"/>
      <c r="H5" s="8" t="s">
        <v>7</v>
      </c>
      <c r="I5" s="8"/>
      <c r="J5" s="8" t="s">
        <v>8</v>
      </c>
    </row>
    <row r="6" customFormat="false" ht="27" hidden="false" customHeight="true" outlineLevel="0" collapsed="false">
      <c r="A6" s="9" t="s">
        <v>9</v>
      </c>
      <c r="B6" s="9" t="s">
        <v>10</v>
      </c>
      <c r="C6" s="9" t="s">
        <v>11</v>
      </c>
      <c r="D6" s="9" t="s">
        <v>12</v>
      </c>
      <c r="E6" s="5"/>
      <c r="F6" s="10" t="n">
        <f aca="false">B32</f>
        <v>64</v>
      </c>
      <c r="G6" s="10"/>
      <c r="H6" s="10" t="n">
        <f aca="false">B35</f>
        <v>380</v>
      </c>
      <c r="I6" s="10"/>
      <c r="J6" s="10" t="n">
        <f aca="false">B33</f>
        <v>64</v>
      </c>
    </row>
    <row r="7" customFormat="false" ht="22.5" hidden="false" customHeight="true" outlineLevel="0" collapsed="false">
      <c r="A7" s="11" t="s">
        <v>13</v>
      </c>
      <c r="B7" s="12" t="n">
        <v>10</v>
      </c>
      <c r="C7" s="11" t="s">
        <v>14</v>
      </c>
      <c r="D7" s="11" t="s">
        <v>15</v>
      </c>
      <c r="E7" s="5"/>
      <c r="F7" s="10"/>
      <c r="G7" s="10"/>
      <c r="H7" s="10"/>
      <c r="I7" s="10"/>
      <c r="J7" s="10"/>
    </row>
    <row r="8" customFormat="false" ht="22.5" hidden="false" customHeight="true" outlineLevel="0" collapsed="false">
      <c r="A8" s="11" t="s">
        <v>16</v>
      </c>
      <c r="B8" s="13" t="n">
        <v>63.7493378472222</v>
      </c>
      <c r="C8" s="11" t="s">
        <v>17</v>
      </c>
      <c r="D8" s="11" t="s">
        <v>18</v>
      </c>
      <c r="E8" s="5"/>
      <c r="F8" s="5"/>
      <c r="G8" s="5"/>
      <c r="H8" s="5"/>
      <c r="I8" s="5"/>
      <c r="J8" s="5"/>
    </row>
    <row r="9" customFormat="false" ht="22.5" hidden="false" customHeight="true" outlineLevel="0" collapsed="false">
      <c r="A9" s="11" t="s">
        <v>19</v>
      </c>
      <c r="B9" s="14" t="n">
        <v>8</v>
      </c>
      <c r="C9" s="11" t="s">
        <v>20</v>
      </c>
      <c r="D9" s="11" t="s">
        <v>21</v>
      </c>
      <c r="E9" s="5"/>
      <c r="F9" s="15" t="s">
        <v>22</v>
      </c>
      <c r="G9" s="15"/>
      <c r="H9" s="15" t="s">
        <v>23</v>
      </c>
      <c r="I9" s="15"/>
      <c r="J9" s="15" t="s">
        <v>24</v>
      </c>
    </row>
    <row r="10" customFormat="false" ht="22.5" hidden="false" customHeight="true" outlineLevel="0" collapsed="false">
      <c r="A10" s="11" t="s">
        <v>25</v>
      </c>
      <c r="B10" s="14" t="n">
        <v>8</v>
      </c>
      <c r="C10" s="11" t="s">
        <v>20</v>
      </c>
      <c r="D10" s="11" t="s">
        <v>26</v>
      </c>
      <c r="E10" s="5"/>
      <c r="F10" s="16" t="n">
        <f aca="false">B37</f>
        <v>7E-005</v>
      </c>
      <c r="G10" s="16"/>
      <c r="H10" s="16" t="n">
        <f aca="false">B34</f>
        <v>0.12</v>
      </c>
      <c r="I10" s="16"/>
      <c r="J10" s="16" t="n">
        <f aca="false">B39</f>
        <v>0.5</v>
      </c>
    </row>
    <row r="11" customFormat="false" ht="22.5" hidden="false" customHeight="true" outlineLevel="0" collapsed="false">
      <c r="A11" s="11" t="s">
        <v>27</v>
      </c>
      <c r="B11" s="17" t="s">
        <v>28</v>
      </c>
      <c r="C11" s="11" t="s">
        <v>29</v>
      </c>
      <c r="D11" s="11" t="s">
        <v>30</v>
      </c>
      <c r="E11" s="5"/>
      <c r="F11" s="16"/>
      <c r="G11" s="16"/>
      <c r="H11" s="16"/>
      <c r="I11" s="16"/>
      <c r="J11" s="16"/>
    </row>
    <row r="12" customFormat="false" ht="22.5" hidden="false" customHeight="true" outlineLevel="0" collapsed="false">
      <c r="A12" s="18" t="s">
        <v>31</v>
      </c>
      <c r="B12" s="19" t="n">
        <v>28</v>
      </c>
      <c r="C12" s="11" t="s">
        <v>32</v>
      </c>
      <c r="D12" s="20" t="s">
        <v>33</v>
      </c>
      <c r="E12" s="5"/>
      <c r="F12" s="21" t="s">
        <v>34</v>
      </c>
      <c r="G12" s="22" t="n">
        <v>1.28833295553232</v>
      </c>
      <c r="H12" s="21" t="s">
        <v>35</v>
      </c>
      <c r="I12" s="23" t="n">
        <f aca="false">Engine!B10</f>
        <v>1.3</v>
      </c>
      <c r="J12" s="5"/>
    </row>
    <row r="13" customFormat="false" ht="30" hidden="false" customHeight="true" outlineLevel="0" collapsed="false">
      <c r="A13" s="7" t="s">
        <v>36</v>
      </c>
      <c r="B13" s="7"/>
      <c r="C13" s="7"/>
      <c r="D13" s="7"/>
      <c r="E13" s="5"/>
      <c r="F13" s="24" t="s">
        <v>37</v>
      </c>
      <c r="G13" s="24"/>
      <c r="H13" s="24"/>
      <c r="I13" s="24"/>
      <c r="J13" s="24"/>
    </row>
    <row r="14" customFormat="false" ht="27" hidden="false" customHeight="true" outlineLevel="0" collapsed="false">
      <c r="A14" s="9" t="s">
        <v>9</v>
      </c>
      <c r="B14" s="9" t="s">
        <v>10</v>
      </c>
      <c r="C14" s="9" t="s">
        <v>11</v>
      </c>
      <c r="D14" s="9" t="s">
        <v>12</v>
      </c>
      <c r="E14" s="5"/>
      <c r="F14" s="25" t="s">
        <v>38</v>
      </c>
      <c r="G14" s="5"/>
      <c r="H14" s="25" t="s">
        <v>39</v>
      </c>
      <c r="I14" s="5"/>
      <c r="J14" s="25" t="s">
        <v>40</v>
      </c>
    </row>
    <row r="15" customFormat="false" ht="22.5" hidden="false" customHeight="true" outlineLevel="0" collapsed="false">
      <c r="A15" s="11" t="s">
        <v>41</v>
      </c>
      <c r="B15" s="17" t="s">
        <v>42</v>
      </c>
      <c r="C15" s="11" t="s">
        <v>43</v>
      </c>
      <c r="D15" s="11" t="s">
        <v>44</v>
      </c>
      <c r="E15" s="5"/>
      <c r="F15" s="26" t="n">
        <f aca="false">B7</f>
        <v>10</v>
      </c>
      <c r="G15" s="5"/>
      <c r="H15" s="26" t="n">
        <f aca="false">B8</f>
        <v>63.7493378472222</v>
      </c>
      <c r="I15" s="5"/>
      <c r="J15" s="26" t="n">
        <f aca="false">B9</f>
        <v>8</v>
      </c>
    </row>
    <row r="16" customFormat="false" ht="22.5" hidden="false" customHeight="true" outlineLevel="0" collapsed="false">
      <c r="A16" s="11" t="s">
        <v>45</v>
      </c>
      <c r="B16" s="12" t="n">
        <v>1</v>
      </c>
      <c r="C16" s="11" t="s">
        <v>46</v>
      </c>
      <c r="D16" s="11" t="s">
        <v>47</v>
      </c>
      <c r="E16" s="5"/>
      <c r="F16" s="25" t="s">
        <v>48</v>
      </c>
      <c r="G16" s="5"/>
      <c r="H16" s="25" t="s">
        <v>49</v>
      </c>
      <c r="I16" s="5"/>
      <c r="J16" s="25" t="s">
        <v>41</v>
      </c>
    </row>
    <row r="17" customFormat="false" ht="22.5" hidden="false" customHeight="true" outlineLevel="0" collapsed="false">
      <c r="A17" s="11" t="s">
        <v>50</v>
      </c>
      <c r="B17" s="17" t="s">
        <v>51</v>
      </c>
      <c r="C17" s="11" t="s">
        <v>52</v>
      </c>
      <c r="D17" s="11" t="s">
        <v>53</v>
      </c>
      <c r="E17" s="5"/>
      <c r="F17" s="26" t="n">
        <f aca="false">B10</f>
        <v>8</v>
      </c>
      <c r="G17" s="5"/>
      <c r="H17" s="26" t="str">
        <f aca="false">B11</f>
        <v>No</v>
      </c>
      <c r="I17" s="5"/>
      <c r="J17" s="26" t="str">
        <f aca="false">B15</f>
        <v>AdamW</v>
      </c>
    </row>
    <row r="18" customFormat="false" ht="22.5" hidden="false" customHeight="true" outlineLevel="0" collapsed="false">
      <c r="A18" s="11"/>
      <c r="B18" s="11"/>
      <c r="C18" s="11"/>
      <c r="D18" s="11"/>
      <c r="E18" s="5"/>
      <c r="F18" s="5"/>
      <c r="G18" s="5"/>
      <c r="H18" s="5"/>
      <c r="I18" s="5"/>
      <c r="J18" s="5"/>
    </row>
    <row r="19" customFormat="false" ht="30" hidden="false" customHeight="true" outlineLevel="0" collapsed="false">
      <c r="A19" s="7" t="s">
        <v>54</v>
      </c>
      <c r="B19" s="7"/>
      <c r="C19" s="7"/>
      <c r="D19" s="7"/>
      <c r="E19" s="5"/>
      <c r="F19" s="24" t="s">
        <v>55</v>
      </c>
      <c r="G19" s="24"/>
      <c r="H19" s="24"/>
      <c r="I19" s="24"/>
      <c r="J19" s="24"/>
    </row>
    <row r="20" customFormat="false" ht="27" hidden="false" customHeight="true" outlineLevel="0" collapsed="false">
      <c r="A20" s="9" t="s">
        <v>9</v>
      </c>
      <c r="B20" s="9" t="s">
        <v>10</v>
      </c>
      <c r="C20" s="9" t="s">
        <v>11</v>
      </c>
      <c r="D20" s="9" t="s">
        <v>12</v>
      </c>
      <c r="E20" s="5"/>
      <c r="F20" s="27" t="str">
        <f aca="false">IF(AND(B21="Good",OR(B22="Good",B22="NA"),B23=0),"FIRST RUN  •  no feedback applied","FEEDBACK  •  "&amp;IF(B23&gt;0,"peak step "&amp;B23&amp;"  •  ","")&amp;"Instruments: "&amp;B21&amp;"  •  Vocals: "&amp;B22)</f>
        <v>FIRST RUN  •  no feedback applied</v>
      </c>
      <c r="G20" s="27"/>
      <c r="H20" s="27"/>
      <c r="I20" s="27"/>
      <c r="J20" s="27"/>
    </row>
    <row r="21" customFormat="false" ht="22.5" hidden="false" customHeight="true" outlineLevel="0" collapsed="false">
      <c r="A21" s="11" t="s">
        <v>56</v>
      </c>
      <c r="B21" s="17" t="s">
        <v>57</v>
      </c>
      <c r="C21" s="11" t="s">
        <v>58</v>
      </c>
      <c r="D21" s="11" t="s">
        <v>59</v>
      </c>
      <c r="E21" s="5"/>
      <c r="F21" s="27"/>
      <c r="G21" s="27"/>
      <c r="H21" s="27"/>
      <c r="I21" s="27"/>
      <c r="J21" s="27"/>
    </row>
    <row r="22" customFormat="false" ht="22.5" hidden="false" customHeight="true" outlineLevel="0" collapsed="false">
      <c r="A22" s="11" t="s">
        <v>60</v>
      </c>
      <c r="B22" s="17" t="s">
        <v>57</v>
      </c>
      <c r="C22" s="11" t="s">
        <v>61</v>
      </c>
      <c r="D22" s="11" t="s">
        <v>62</v>
      </c>
      <c r="E22" s="5"/>
      <c r="F22" s="28" t="str">
        <f aca="false">IF(B27="Yes","CALIBRATION ON  •  "&amp;Calibration!B7,"CALIBRATION OFF")</f>
        <v>CALIBRATION ON  •  Ryk 1.10</v>
      </c>
      <c r="G22" s="28"/>
      <c r="H22" s="28"/>
      <c r="I22" s="28"/>
      <c r="J22" s="28"/>
    </row>
    <row r="23" customFormat="false" ht="22.5" hidden="false" customHeight="true" outlineLevel="0" collapsed="false">
      <c r="A23" s="11" t="s">
        <v>63</v>
      </c>
      <c r="B23" s="12" t="n">
        <v>0</v>
      </c>
      <c r="C23" s="11" t="s">
        <v>64</v>
      </c>
      <c r="D23" s="11" t="s">
        <v>65</v>
      </c>
      <c r="E23" s="5"/>
      <c r="F23" s="28"/>
      <c r="G23" s="28"/>
      <c r="H23" s="28"/>
      <c r="I23" s="28"/>
      <c r="J23" s="28"/>
    </row>
    <row r="24" customFormat="false" ht="22.5" hidden="false" customHeight="true" outlineLevel="0" collapsed="false">
      <c r="A24" s="11"/>
      <c r="B24" s="11"/>
      <c r="C24" s="11"/>
      <c r="D24" s="11"/>
      <c r="E24" s="5"/>
      <c r="F24" s="5"/>
      <c r="G24" s="5"/>
      <c r="H24" s="5"/>
      <c r="I24" s="5"/>
      <c r="J24" s="5"/>
    </row>
    <row r="25" customFormat="false" ht="30" hidden="false" customHeight="true" outlineLevel="0" collapsed="false">
      <c r="A25" s="7" t="s">
        <v>66</v>
      </c>
      <c r="B25" s="7"/>
      <c r="C25" s="7"/>
      <c r="D25" s="7"/>
      <c r="E25" s="5"/>
      <c r="F25" s="24" t="s">
        <v>67</v>
      </c>
      <c r="G25" s="24"/>
      <c r="H25" s="24"/>
      <c r="I25" s="24"/>
      <c r="J25" s="24"/>
    </row>
    <row r="26" customFormat="false" ht="27" hidden="false" customHeight="true" outlineLevel="0" collapsed="false">
      <c r="A26" s="9" t="s">
        <v>9</v>
      </c>
      <c r="B26" s="9" t="s">
        <v>10</v>
      </c>
      <c r="C26" s="9" t="s">
        <v>11</v>
      </c>
      <c r="D26" s="9" t="s">
        <v>12</v>
      </c>
      <c r="E26" s="5"/>
      <c r="F26" s="29" t="s">
        <v>68</v>
      </c>
      <c r="G26" s="29"/>
      <c r="H26" s="29"/>
      <c r="I26" s="30" t="n">
        <f aca="false">B32</f>
        <v>64</v>
      </c>
      <c r="J26" s="30"/>
    </row>
    <row r="27" customFormat="false" ht="22.5" hidden="false" customHeight="true" outlineLevel="0" collapsed="false">
      <c r="A27" s="11" t="s">
        <v>69</v>
      </c>
      <c r="B27" s="17" t="s">
        <v>70</v>
      </c>
      <c r="C27" s="11" t="s">
        <v>29</v>
      </c>
      <c r="D27" s="11" t="s">
        <v>71</v>
      </c>
      <c r="E27" s="5"/>
      <c r="F27" s="29" t="s">
        <v>72</v>
      </c>
      <c r="G27" s="29"/>
      <c r="H27" s="29"/>
      <c r="I27" s="30" t="n">
        <f aca="false">B33</f>
        <v>64</v>
      </c>
      <c r="J27" s="30"/>
    </row>
    <row r="28" customFormat="false" ht="22.5" hidden="false" customHeight="true" outlineLevel="0" collapsed="false">
      <c r="A28" s="11" t="s">
        <v>73</v>
      </c>
      <c r="B28" s="31" t="str">
        <f aca="false">IF(B27="Yes",IF(Calibration!B7&lt;&gt;"","Run: "&amp;Calibration!B7,"(no run name entered)"),"Off")</f>
        <v>Run: Ryk 1.10</v>
      </c>
      <c r="C28" s="11" t="s">
        <v>74</v>
      </c>
      <c r="D28" s="11" t="s">
        <v>75</v>
      </c>
      <c r="E28" s="5"/>
      <c r="F28" s="29" t="s">
        <v>76</v>
      </c>
      <c r="G28" s="29"/>
      <c r="H28" s="29"/>
      <c r="I28" s="30" t="n">
        <f aca="false">B35</f>
        <v>380</v>
      </c>
      <c r="J28" s="30"/>
    </row>
    <row r="29" customFormat="false" ht="22.5" hidden="false" customHeight="true" outlineLevel="0" collapsed="false">
      <c r="A29" s="11"/>
      <c r="B29" s="11"/>
      <c r="C29" s="11"/>
      <c r="D29" s="11"/>
      <c r="E29" s="5"/>
      <c r="F29" s="29" t="s">
        <v>41</v>
      </c>
      <c r="G29" s="29"/>
      <c r="H29" s="29"/>
      <c r="I29" s="30" t="str">
        <f aca="false">B36</f>
        <v>AdamW</v>
      </c>
      <c r="J29" s="30"/>
    </row>
    <row r="30" customFormat="false" ht="30" hidden="false" customHeight="true" outlineLevel="0" collapsed="false">
      <c r="A30" s="32" t="s">
        <v>77</v>
      </c>
      <c r="B30" s="32"/>
      <c r="C30" s="32"/>
      <c r="D30" s="32"/>
      <c r="E30" s="5"/>
      <c r="F30" s="29" t="s">
        <v>78</v>
      </c>
      <c r="G30" s="29"/>
      <c r="H30" s="29"/>
      <c r="I30" s="30" t="n">
        <f aca="false">B37</f>
        <v>7E-005</v>
      </c>
      <c r="J30" s="30"/>
    </row>
    <row r="31" customFormat="false" ht="27" hidden="false" customHeight="true" outlineLevel="0" collapsed="false">
      <c r="A31" s="9" t="s">
        <v>79</v>
      </c>
      <c r="B31" s="9" t="s">
        <v>80</v>
      </c>
      <c r="C31" s="9" t="s">
        <v>81</v>
      </c>
      <c r="D31" s="9" t="s">
        <v>82</v>
      </c>
      <c r="E31" s="5"/>
      <c r="F31" s="29" t="s">
        <v>83</v>
      </c>
      <c r="G31" s="29"/>
      <c r="H31" s="29"/>
      <c r="I31" s="30" t="n">
        <f aca="false">B38</f>
        <v>0.47</v>
      </c>
      <c r="J31" s="30"/>
    </row>
    <row r="32" customFormat="false" ht="22.5" hidden="false" customHeight="true" outlineLevel="0" collapsed="false">
      <c r="A32" s="33" t="s">
        <v>84</v>
      </c>
      <c r="B32" s="34" t="n">
        <f aca="false">Engine!B49</f>
        <v>64</v>
      </c>
      <c r="C32" s="11" t="s">
        <v>85</v>
      </c>
      <c r="D32" s="11" t="s">
        <v>86</v>
      </c>
      <c r="E32" s="5"/>
      <c r="F32" s="29" t="s">
        <v>87</v>
      </c>
      <c r="G32" s="29"/>
      <c r="H32" s="29"/>
      <c r="I32" s="30" t="n">
        <f aca="false">B39</f>
        <v>0.5</v>
      </c>
      <c r="J32" s="30"/>
    </row>
    <row r="33" customFormat="false" ht="22.5" hidden="false" customHeight="true" outlineLevel="0" collapsed="false">
      <c r="A33" s="33" t="s">
        <v>72</v>
      </c>
      <c r="B33" s="34" t="n">
        <f aca="false">Engine!B50</f>
        <v>64</v>
      </c>
      <c r="C33" s="11" t="s">
        <v>88</v>
      </c>
      <c r="D33" s="11" t="s">
        <v>89</v>
      </c>
      <c r="E33" s="5"/>
      <c r="F33" s="29" t="s">
        <v>90</v>
      </c>
      <c r="G33" s="29"/>
      <c r="H33" s="29"/>
      <c r="I33" s="30" t="n">
        <f aca="false">B40</f>
        <v>140</v>
      </c>
      <c r="J33" s="30"/>
    </row>
    <row r="34" customFormat="false" ht="22.5" hidden="false" customHeight="true" outlineLevel="0" collapsed="false">
      <c r="A34" s="33" t="s">
        <v>91</v>
      </c>
      <c r="B34" s="35" t="n">
        <f aca="false">Engine!B52</f>
        <v>0.12</v>
      </c>
      <c r="C34" s="11" t="s">
        <v>92</v>
      </c>
      <c r="D34" s="11" t="s">
        <v>93</v>
      </c>
      <c r="E34" s="5"/>
      <c r="F34" s="29" t="s">
        <v>94</v>
      </c>
      <c r="G34" s="29"/>
      <c r="H34" s="29"/>
      <c r="I34" s="30" t="str">
        <f aca="false">B41</f>
        <v>Cosine</v>
      </c>
      <c r="J34" s="30"/>
    </row>
    <row r="35" customFormat="false" ht="22.5" hidden="false" customHeight="true" outlineLevel="0" collapsed="false">
      <c r="A35" s="33" t="s">
        <v>76</v>
      </c>
      <c r="B35" s="34" t="n">
        <f aca="false">Engine!B43</f>
        <v>380</v>
      </c>
      <c r="C35" s="11" t="s">
        <v>95</v>
      </c>
      <c r="D35" s="11" t="s">
        <v>96</v>
      </c>
      <c r="E35" s="5"/>
      <c r="F35" s="29" t="s">
        <v>97</v>
      </c>
      <c r="G35" s="29"/>
      <c r="H35" s="29"/>
      <c r="I35" s="30" t="n">
        <f aca="false">B42</f>
        <v>1</v>
      </c>
      <c r="J35" s="30"/>
    </row>
    <row r="36" customFormat="false" ht="22.5" hidden="false" customHeight="true" outlineLevel="0" collapsed="false">
      <c r="A36" s="33" t="s">
        <v>41</v>
      </c>
      <c r="B36" s="36" t="str">
        <f aca="false">B15</f>
        <v>AdamW</v>
      </c>
      <c r="C36" s="11" t="s">
        <v>98</v>
      </c>
      <c r="D36" s="11" t="s">
        <v>99</v>
      </c>
      <c r="E36" s="5"/>
      <c r="F36" s="5"/>
      <c r="G36" s="5"/>
      <c r="H36" s="5"/>
      <c r="I36" s="5"/>
      <c r="J36" s="5"/>
    </row>
    <row r="37" customFormat="false" ht="22.5" hidden="false" customHeight="true" outlineLevel="0" collapsed="false">
      <c r="A37" s="33" t="s">
        <v>78</v>
      </c>
      <c r="B37" s="37" t="n">
        <f aca="false">Engine!B47</f>
        <v>7E-005</v>
      </c>
      <c r="C37" s="11" t="s">
        <v>100</v>
      </c>
      <c r="D37" s="11" t="s">
        <v>101</v>
      </c>
      <c r="E37" s="5"/>
      <c r="F37" s="24" t="s">
        <v>102</v>
      </c>
      <c r="G37" s="24"/>
      <c r="H37" s="24"/>
      <c r="I37" s="24"/>
      <c r="J37" s="24"/>
    </row>
    <row r="38" customFormat="false" ht="22.5" hidden="false" customHeight="true" outlineLevel="0" collapsed="false">
      <c r="A38" s="33" t="s">
        <v>103</v>
      </c>
      <c r="B38" s="35" t="n">
        <f aca="false">Engine!B51</f>
        <v>0.47</v>
      </c>
      <c r="C38" s="11" t="s">
        <v>104</v>
      </c>
      <c r="D38" s="11" t="s">
        <v>105</v>
      </c>
      <c r="E38" s="5"/>
      <c r="F38" s="38" t="s">
        <v>106</v>
      </c>
      <c r="G38" s="38"/>
      <c r="H38" s="38"/>
      <c r="I38" s="39" t="n">
        <f aca="false">Engine!B11</f>
        <v>1.67483284219202</v>
      </c>
      <c r="J38" s="39"/>
    </row>
    <row r="39" customFormat="false" ht="22.5" hidden="false" customHeight="true" outlineLevel="0" collapsed="false">
      <c r="A39" s="33" t="s">
        <v>87</v>
      </c>
      <c r="B39" s="40" t="n">
        <f aca="false">Engine!B54</f>
        <v>0.5</v>
      </c>
      <c r="C39" s="11" t="s">
        <v>107</v>
      </c>
      <c r="D39" s="11" t="s">
        <v>108</v>
      </c>
      <c r="E39" s="5"/>
      <c r="F39" s="38" t="s">
        <v>109</v>
      </c>
      <c r="G39" s="38"/>
      <c r="H39" s="38"/>
      <c r="I39" s="39" t="n">
        <f aca="false">Engine!B9</f>
        <v>1.28833295553232</v>
      </c>
      <c r="J39" s="39"/>
    </row>
    <row r="40" customFormat="false" ht="22.5" hidden="false" customHeight="true" outlineLevel="0" collapsed="false">
      <c r="A40" s="33" t="s">
        <v>90</v>
      </c>
      <c r="B40" s="34" t="n">
        <f aca="false">Engine!B44</f>
        <v>140</v>
      </c>
      <c r="C40" s="11" t="s">
        <v>110</v>
      </c>
      <c r="D40" s="11" t="s">
        <v>111</v>
      </c>
      <c r="E40" s="5"/>
      <c r="F40" s="38" t="s">
        <v>112</v>
      </c>
      <c r="G40" s="38"/>
      <c r="H40" s="38"/>
      <c r="I40" s="39" t="n">
        <f aca="false">Engine!B10</f>
        <v>1.3</v>
      </c>
      <c r="J40" s="39"/>
    </row>
    <row r="41" customFormat="false" ht="22.5" hidden="false" customHeight="true" outlineLevel="0" collapsed="false">
      <c r="A41" s="33" t="s">
        <v>94</v>
      </c>
      <c r="B41" s="36" t="str">
        <f aca="false">Engine!B55</f>
        <v>Cosine</v>
      </c>
      <c r="C41" s="11" t="s">
        <v>113</v>
      </c>
      <c r="D41" s="11" t="s">
        <v>114</v>
      </c>
      <c r="E41" s="5"/>
      <c r="F41" s="38" t="s">
        <v>115</v>
      </c>
      <c r="G41" s="38"/>
      <c r="H41" s="38"/>
      <c r="I41" s="39" t="n">
        <f aca="false">Engine!B16</f>
        <v>0.110727317972368</v>
      </c>
      <c r="J41" s="39"/>
    </row>
    <row r="42" customFormat="false" ht="22.5" hidden="false" customHeight="true" outlineLevel="0" collapsed="false">
      <c r="A42" s="33" t="s">
        <v>116</v>
      </c>
      <c r="B42" s="34" t="n">
        <f aca="false">B16</f>
        <v>1</v>
      </c>
      <c r="C42" s="11" t="s">
        <v>98</v>
      </c>
      <c r="D42" s="11" t="s">
        <v>117</v>
      </c>
      <c r="E42" s="5"/>
      <c r="F42" s="38" t="s">
        <v>50</v>
      </c>
      <c r="G42" s="38"/>
      <c r="H42" s="38"/>
      <c r="I42" s="39" t="str">
        <f aca="false">B41</f>
        <v>Cosine</v>
      </c>
      <c r="J42" s="39"/>
    </row>
    <row r="43" customFormat="false" ht="22.5" hidden="false" customHeight="true" outlineLevel="0" collapsed="false">
      <c r="A43" s="11"/>
      <c r="B43" s="11"/>
      <c r="C43" s="11"/>
      <c r="D43" s="11"/>
      <c r="E43" s="5"/>
      <c r="F43" s="5"/>
      <c r="G43" s="5"/>
      <c r="H43" s="5"/>
      <c r="I43" s="5"/>
      <c r="J43" s="5"/>
    </row>
    <row r="44" customFormat="false" ht="30" hidden="false" customHeight="true" outlineLevel="0" collapsed="false">
      <c r="A44" s="7" t="s">
        <v>118</v>
      </c>
      <c r="B44" s="7"/>
      <c r="C44" s="7"/>
      <c r="D44" s="7"/>
      <c r="E44" s="5"/>
      <c r="F44" s="5"/>
      <c r="G44" s="5"/>
      <c r="H44" s="5"/>
      <c r="I44" s="5"/>
      <c r="J44" s="5"/>
    </row>
    <row r="45" customFormat="false" ht="27" hidden="false" customHeight="true" outlineLevel="0" collapsed="false">
      <c r="A45" s="9" t="s">
        <v>119</v>
      </c>
      <c r="B45" s="9" t="s">
        <v>80</v>
      </c>
      <c r="C45" s="9"/>
      <c r="D45" s="9" t="s">
        <v>120</v>
      </c>
      <c r="E45" s="5"/>
      <c r="F45" s="24" t="s">
        <v>121</v>
      </c>
      <c r="G45" s="24"/>
      <c r="H45" s="24"/>
      <c r="I45" s="24"/>
      <c r="J45" s="24"/>
    </row>
    <row r="46" customFormat="false" ht="22.5" hidden="false" customHeight="true" outlineLevel="0" collapsed="false">
      <c r="A46" s="11" t="s">
        <v>109</v>
      </c>
      <c r="B46" s="41" t="n">
        <f aca="false">Engine!B9</f>
        <v>1.28833295553232</v>
      </c>
      <c r="C46" s="11" t="s">
        <v>122</v>
      </c>
      <c r="D46" s="11" t="s">
        <v>123</v>
      </c>
      <c r="E46" s="5"/>
      <c r="F46" s="42" t="s">
        <v>124</v>
      </c>
      <c r="G46" s="42"/>
      <c r="H46" s="42"/>
      <c r="I46" s="42"/>
      <c r="J46" s="42"/>
    </row>
    <row r="47" customFormat="false" ht="22.5" hidden="false" customHeight="true" outlineLevel="0" collapsed="false">
      <c r="A47" s="11" t="s">
        <v>125</v>
      </c>
      <c r="B47" s="41" t="n">
        <f aca="false">Engine!B10</f>
        <v>1.3</v>
      </c>
      <c r="C47" s="11" t="s">
        <v>126</v>
      </c>
      <c r="D47" s="11" t="s">
        <v>127</v>
      </c>
      <c r="E47" s="5"/>
      <c r="F47" s="42" t="s">
        <v>128</v>
      </c>
      <c r="G47" s="42"/>
      <c r="H47" s="42"/>
      <c r="I47" s="42"/>
      <c r="J47" s="42"/>
    </row>
    <row r="48" customFormat="false" ht="22.5" hidden="false" customHeight="true" outlineLevel="0" collapsed="false">
      <c r="A48" s="11" t="s">
        <v>106</v>
      </c>
      <c r="B48" s="41" t="n">
        <f aca="false">Engine!B11</f>
        <v>1.67483284219202</v>
      </c>
      <c r="C48" s="11"/>
      <c r="D48" s="11" t="s">
        <v>129</v>
      </c>
      <c r="E48" s="5"/>
      <c r="F48" s="42" t="s">
        <v>130</v>
      </c>
      <c r="G48" s="42"/>
      <c r="H48" s="42"/>
      <c r="I48" s="42"/>
      <c r="J48" s="42"/>
    </row>
    <row r="49" customFormat="false" ht="22.5" hidden="false" customHeight="true" outlineLevel="0" collapsed="false">
      <c r="A49" s="11" t="s">
        <v>131</v>
      </c>
      <c r="B49" s="31" t="str">
        <f aca="false">IF(AND(B21="Good",OR(B22="Good",B22="NA"),B23=0),"None (first run)","Instruments: "&amp;B21&amp;", Vocals: "&amp;B22&amp;IF(B23&gt;0,", peak step "&amp;B23,""))</f>
        <v>None (first run)</v>
      </c>
      <c r="C49" s="11"/>
      <c r="D49" s="11" t="s">
        <v>132</v>
      </c>
      <c r="E49" s="5"/>
      <c r="F49" s="42" t="s">
        <v>133</v>
      </c>
      <c r="G49" s="42"/>
      <c r="H49" s="42"/>
      <c r="I49" s="42"/>
      <c r="J49" s="42"/>
    </row>
    <row r="50" customFormat="false" ht="22.5" hidden="false" customHeight="true" outlineLevel="0" collapsed="false">
      <c r="A50" s="11" t="s">
        <v>134</v>
      </c>
      <c r="B50" s="31" t="str">
        <f aca="false">IF(B27="Yes",IF(LEFT(Calibration!B47,7)="Nothing","On, but nothing entered on the Calibration sheet","On - "&amp;Calibration!B47),"Off")</f>
        <v>On - 64</v>
      </c>
      <c r="C50" s="11"/>
      <c r="D50" s="11" t="s">
        <v>135</v>
      </c>
      <c r="E50" s="5"/>
      <c r="F50" s="5"/>
      <c r="G50" s="5"/>
      <c r="H50" s="5"/>
      <c r="I50" s="5"/>
      <c r="J50" s="5"/>
    </row>
    <row r="51" customFormat="false" ht="22.5" hidden="false" customHeight="true" outlineLevel="0" collapsed="false">
      <c r="A51" s="11" t="s">
        <v>136</v>
      </c>
      <c r="B51" s="31" t="str">
        <f aca="false">IF(B23&gt;0,"Re-fitted so the peak sits at step "&amp;B23,"Standard schedule from dataset size")</f>
        <v>Standard schedule from dataset size</v>
      </c>
      <c r="C51" s="11"/>
      <c r="D51" s="11" t="s">
        <v>137</v>
      </c>
      <c r="E51" s="5"/>
      <c r="F51" s="43" t="s">
        <v>138</v>
      </c>
      <c r="G51" s="43"/>
      <c r="H51" s="43"/>
      <c r="I51" s="43"/>
      <c r="J51" s="43"/>
    </row>
    <row r="52" customFormat="false" ht="22.5" hidden="false" customHeight="true" outlineLevel="0" collapsed="false">
      <c r="A52" s="11"/>
      <c r="B52" s="11"/>
      <c r="C52" s="11"/>
      <c r="D52" s="11"/>
      <c r="E52" s="5"/>
      <c r="F52" s="43"/>
      <c r="G52" s="43"/>
      <c r="H52" s="43"/>
      <c r="I52" s="43"/>
      <c r="J52" s="43"/>
    </row>
    <row r="53" customFormat="false" ht="22.5" hidden="false" customHeight="true" outlineLevel="0" collapsed="false">
      <c r="A53" s="44" t="s">
        <v>139</v>
      </c>
      <c r="B53" s="44"/>
      <c r="C53" s="44"/>
      <c r="D53" s="44"/>
      <c r="E53" s="5"/>
      <c r="F53" s="43"/>
      <c r="G53" s="43"/>
      <c r="H53" s="43"/>
      <c r="I53" s="43"/>
      <c r="J53" s="43"/>
    </row>
  </sheetData>
  <mergeCells count="64">
    <mergeCell ref="A1:J1"/>
    <mergeCell ref="A2:J2"/>
    <mergeCell ref="A3:D3"/>
    <mergeCell ref="F3:J3"/>
    <mergeCell ref="A4:J4"/>
    <mergeCell ref="A5:D5"/>
    <mergeCell ref="F5:G5"/>
    <mergeCell ref="H5:I5"/>
    <mergeCell ref="F6:G7"/>
    <mergeCell ref="H6:I7"/>
    <mergeCell ref="J6:J7"/>
    <mergeCell ref="F9:G9"/>
    <mergeCell ref="H9:I9"/>
    <mergeCell ref="F10:G11"/>
    <mergeCell ref="H10:I11"/>
    <mergeCell ref="J10:J11"/>
    <mergeCell ref="A13:D13"/>
    <mergeCell ref="F13:J13"/>
    <mergeCell ref="A19:D19"/>
    <mergeCell ref="F19:J19"/>
    <mergeCell ref="F20:J21"/>
    <mergeCell ref="F22:J23"/>
    <mergeCell ref="A25:D25"/>
    <mergeCell ref="F25:J25"/>
    <mergeCell ref="F26:H26"/>
    <mergeCell ref="I26:J26"/>
    <mergeCell ref="F27:H27"/>
    <mergeCell ref="I27:J27"/>
    <mergeCell ref="F28:H28"/>
    <mergeCell ref="I28:J28"/>
    <mergeCell ref="F29:H29"/>
    <mergeCell ref="I29:J29"/>
    <mergeCell ref="A30:D30"/>
    <mergeCell ref="F30:H30"/>
    <mergeCell ref="I30:J30"/>
    <mergeCell ref="F31:H31"/>
    <mergeCell ref="I31:J31"/>
    <mergeCell ref="F32:H32"/>
    <mergeCell ref="I32:J32"/>
    <mergeCell ref="F33:H33"/>
    <mergeCell ref="I33:J33"/>
    <mergeCell ref="F34:H34"/>
    <mergeCell ref="I34:J34"/>
    <mergeCell ref="F35:H35"/>
    <mergeCell ref="I35:J35"/>
    <mergeCell ref="F37:J37"/>
    <mergeCell ref="F38:H38"/>
    <mergeCell ref="I38:J38"/>
    <mergeCell ref="F39:H39"/>
    <mergeCell ref="I39:J39"/>
    <mergeCell ref="F40:H40"/>
    <mergeCell ref="I40:J40"/>
    <mergeCell ref="F41:H41"/>
    <mergeCell ref="I41:J41"/>
    <mergeCell ref="F42:H42"/>
    <mergeCell ref="I42:J42"/>
    <mergeCell ref="A44:D44"/>
    <mergeCell ref="F45:J45"/>
    <mergeCell ref="F46:J46"/>
    <mergeCell ref="F47:J47"/>
    <mergeCell ref="F48:J48"/>
    <mergeCell ref="F49:J49"/>
    <mergeCell ref="F51:J53"/>
    <mergeCell ref="A53:D53"/>
  </mergeCells>
  <dataValidations count="13">
    <dataValidation allowBlank="false" error="Please pick or enter a value from the allowed range." errorStyle="stop" errorTitle="Not allowed" operator="greaterThanOrEqual" prompt="Count the original songs (not clips). Whole number, 1 or more." promptTitle="Number of tracks" showDropDown="false" showErrorMessage="true" showInputMessage="true" sqref="B7" type="whole">
      <formula1>1</formula1>
      <formula2>0</formula2>
    </dataValidation>
    <dataValidation allowBlank="false" error="Please pick or enter a value from the allowed range." errorStyle="stop" errorTitle="Not allowed" operator="greaterThan" prompt="Combined length of all tracks, in minutes." promptTitle="Total audio time" showDropDown="false" showErrorMessage="true" showInputMessage="true" sqref="B8" type="decimal">
      <formula1>0</formula1>
      <formula2>0</formula2>
    </dataValidation>
    <dataValidation allowBlank="false" error="Please pick or enter a value from the allowed range." errorStyle="stop" errorTitle="Not allowed" operator="between" prompt="1 = sparse, simple. 10 = multi-layered, complicated music." promptTitle="Music complexity" showDropDown="false" showErrorMessage="true" showInputMessage="true" sqref="B9" type="list">
      <formula1>"1,2,3,4,5,6,7,8,9,10"</formula1>
      <formula2>0</formula2>
    </dataValidation>
    <dataValidation allowBlank="false" error="Please pick or enter a value from the allowed range." errorStyle="stop" errorTitle="Not allowed" operator="between" prompt="1 = poor or missing tags. 10 = best: about 28 specific tags per track." promptTitle="Tag quality" showDropDown="false" showErrorMessage="true" showInputMessage="true" sqref="B10" type="list">
      <formula1>"1,2,3,4,5,6,7,8,9,10"</formula1>
      <formula2>0</formula2>
    </dataValidation>
    <dataValidation allowBlank="false" error="Please pick or enter a value from the allowed range." errorStyle="stop" errorTitle="Not allowed" operator="between" prompt="Yes if you cut the songs into short clips." promptTitle="Split into clips?" showDropDown="false" showErrorMessage="true" showInputMessage="true" sqref="B11" type="list">
      <formula1>"Yes,No"</formula1>
      <formula2>0</formula2>
    </dataValidation>
    <dataValidation allowBlank="false" error="Please pick or enter a value from the allowed range." errorStyle="stop" errorTitle="Not allowed" operator="between" prompt="Prodigy and Muon pick their own learning rate." promptTitle="Optimizer" showDropDown="false" showErrorMessage="true" showInputMessage="true" sqref="B15" type="list">
      <formula1>"AdamW,AdamW (graph experimental),Prodigy,Muon"</formula1>
      <formula2>0</formula2>
    </dataValidation>
    <dataValidation allowBlank="false" error="Please pick or enter a value from the allowed range." errorStyle="stop" errorTitle="Not allowed" operator="between" prompt="Whole number from 1 to 64." promptTitle="Accumulation steps" showDropDown="false" showErrorMessage="true" showInputMessage="true" sqref="B16" type="whole">
      <formula1>1</formula1>
      <formula2>64</formula2>
    </dataValidation>
    <dataValidation allowBlank="false" error="Please pick or enter a value from the allowed range." errorStyle="stop" errorTitle="Not allowed" operator="between" prompt="Auto is recommended." promptTitle="Decay shape" showDropDown="false" showErrorMessage="true" showInputMessage="true" sqref="B17" type="list">
      <formula1>"Auto,Cosine,Linear"</formula1>
      <formula2>0</formula2>
    </dataValidation>
    <dataValidation allowBlank="false" error="Please pick or enter a value from the allowed range." errorStyle="stop" errorTitle="Not allowed" operator="between" prompt="Good / Weak (lacks character) / Overcooked (memorised)." promptTitle="Instruments" showDropDown="false" showErrorMessage="true" showInputMessage="true" sqref="B21" type="list">
      <formula1>"Good,Weak,Overcooked"</formula1>
      <formula2>0</formula2>
    </dataValidation>
    <dataValidation allowBlank="false" error="Please pick or enter a value from the allowed range." errorStyle="stop" errorTitle="Not allowed" operator="between" prompt="Good / Weak / Overcooked, or NA for instrumentals." promptTitle="Vocals" showDropDown="false" showErrorMessage="true" showInputMessage="true" sqref="B22" type="list">
      <formula1>"Good,Weak,Overcooked,NA"</formula1>
      <formula2>0</formula2>
    </dataValidation>
    <dataValidation allowBlank="false" error="Please pick or enter a value from the allowed range." errorStyle="stop" errorTitle="Not allowed" operator="greaterThanOrEqual" prompt="Best checkpoint step from your trial run; 0 on the first run." promptTitle="Best peak step" showDropDown="false" showErrorMessage="true" showInputMessage="true" sqref="B23" type="whole">
      <formula1>0</formula1>
      <formula2>0</formula2>
    </dataValidation>
    <dataValidation allowBlank="false" error="Please pick or enter a value from the allowed range." errorStyle="stop" errorTitle="Not allowed" operator="between" prompt="Fill in the Calibration sheet first." promptTitle="Apply calibration" showDropDown="false" showErrorMessage="true" showInputMessage="true" sqref="B27" type="list">
      <formula1>"Yes,No"</formula1>
      <formula2>0</formula2>
    </dataValidation>
    <dataValidation allowBlank="true" error="Enter 0 or a positive number." errorStyle="stop" errorTitle="Invalid caption tag count" operator="greaterThanOrEqual" prompt="Enter the average number of comma-separated caption tags per track, averaged over ALL tracks. Missing captions count as 0." promptTitle="Python caption tag count" showDropDown="false" showErrorMessage="false" showInputMessage="false" sqref="B12"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3AED"/>
    <pageSetUpPr fitToPage="true"/>
  </sheetPr>
  <dimension ref="A1:D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4"/>
    <col collapsed="false" customWidth="true" hidden="false" outlineLevel="0" max="2" min="2" style="1" width="24"/>
    <col collapsed="false" customWidth="true" hidden="false" outlineLevel="0" max="3" min="3" style="1" width="30"/>
    <col collapsed="false" customWidth="true" hidden="false" outlineLevel="0" max="4" min="4" style="1" width="64"/>
  </cols>
  <sheetData>
    <row r="1" customFormat="false" ht="36" hidden="false" customHeight="true" outlineLevel="0" collapsed="false">
      <c r="A1" s="45" t="s">
        <v>140</v>
      </c>
      <c r="B1" s="45"/>
      <c r="C1" s="45"/>
      <c r="D1" s="45"/>
    </row>
    <row r="2" customFormat="false" ht="42" hidden="false" customHeight="true" outlineLevel="0" collapsed="false">
      <c r="A2" s="46" t="s">
        <v>141</v>
      </c>
      <c r="B2" s="46"/>
      <c r="C2" s="46"/>
      <c r="D2" s="46"/>
    </row>
    <row r="3" customFormat="false" ht="21.75" hidden="false" customHeight="true" outlineLevel="0" collapsed="false">
      <c r="A3" s="47" t="s">
        <v>142</v>
      </c>
      <c r="B3" s="48" t="s">
        <v>143</v>
      </c>
      <c r="C3" s="49" t="s">
        <v>144</v>
      </c>
      <c r="D3" s="47" t="s">
        <v>145</v>
      </c>
    </row>
    <row r="4" customFormat="false" ht="15" hidden="false" customHeight="true" outlineLevel="0" collapsed="false">
      <c r="A4" s="47"/>
      <c r="B4" s="47"/>
      <c r="C4" s="47"/>
      <c r="D4" s="47"/>
    </row>
    <row r="5" customFormat="false" ht="21.75" hidden="false" customHeight="true" outlineLevel="0" collapsed="false">
      <c r="A5" s="50" t="s">
        <v>146</v>
      </c>
      <c r="B5" s="50"/>
      <c r="C5" s="50"/>
      <c r="D5" s="50"/>
    </row>
    <row r="6" customFormat="false" ht="19.5" hidden="false" customHeight="true" outlineLevel="0" collapsed="false">
      <c r="A6" s="51" t="s">
        <v>9</v>
      </c>
      <c r="B6" s="51" t="s">
        <v>10</v>
      </c>
      <c r="C6" s="51" t="s">
        <v>11</v>
      </c>
      <c r="D6" s="51" t="s">
        <v>12</v>
      </c>
    </row>
    <row r="7" customFormat="false" ht="41.25" hidden="false" customHeight="true" outlineLevel="0" collapsed="false">
      <c r="A7" s="47" t="s">
        <v>147</v>
      </c>
      <c r="B7" s="52" t="s">
        <v>148</v>
      </c>
      <c r="C7" s="47" t="s">
        <v>149</v>
      </c>
      <c r="D7" s="53" t="s">
        <v>150</v>
      </c>
    </row>
    <row r="8" customFormat="false" ht="18" hidden="false" customHeight="true" outlineLevel="0" collapsed="false">
      <c r="A8" s="47" t="s">
        <v>151</v>
      </c>
      <c r="B8" s="52" t="s">
        <v>152</v>
      </c>
      <c r="C8" s="47" t="s">
        <v>153</v>
      </c>
      <c r="D8" s="53" t="s">
        <v>154</v>
      </c>
    </row>
    <row r="9" customFormat="false" ht="18" hidden="false" customHeight="true" outlineLevel="0" collapsed="false">
      <c r="A9" s="47" t="s">
        <v>13</v>
      </c>
      <c r="B9" s="54" t="n">
        <v>10</v>
      </c>
      <c r="C9" s="47" t="s">
        <v>14</v>
      </c>
      <c r="D9" s="53" t="s">
        <v>155</v>
      </c>
    </row>
    <row r="10" customFormat="false" ht="18" hidden="false" customHeight="true" outlineLevel="0" collapsed="false">
      <c r="A10" s="47" t="s">
        <v>16</v>
      </c>
      <c r="B10" s="55" t="n">
        <v>63.7493378472222</v>
      </c>
      <c r="C10" s="47" t="s">
        <v>17</v>
      </c>
      <c r="D10" s="53" t="s">
        <v>156</v>
      </c>
    </row>
    <row r="11" customFormat="false" ht="28.5" hidden="false" customHeight="true" outlineLevel="0" collapsed="false">
      <c r="A11" s="47" t="s">
        <v>19</v>
      </c>
      <c r="B11" s="54" t="n">
        <v>10</v>
      </c>
      <c r="C11" s="47" t="s">
        <v>20</v>
      </c>
      <c r="D11" s="53" t="s">
        <v>157</v>
      </c>
    </row>
    <row r="12" customFormat="false" ht="18" hidden="false" customHeight="true" outlineLevel="0" collapsed="false">
      <c r="A12" s="47" t="s">
        <v>158</v>
      </c>
      <c r="B12" s="54" t="n">
        <v>10</v>
      </c>
      <c r="C12" s="47" t="s">
        <v>20</v>
      </c>
      <c r="D12" s="53" t="s">
        <v>159</v>
      </c>
    </row>
    <row r="13" customFormat="false" ht="18" hidden="false" customHeight="true" outlineLevel="0" collapsed="false">
      <c r="A13" s="47" t="s">
        <v>27</v>
      </c>
      <c r="B13" s="52" t="s">
        <v>28</v>
      </c>
      <c r="C13" s="47" t="s">
        <v>29</v>
      </c>
      <c r="D13" s="53" t="s">
        <v>160</v>
      </c>
    </row>
    <row r="14" customFormat="false" ht="15" hidden="false" customHeight="true" outlineLevel="0" collapsed="false">
      <c r="A14" s="47"/>
      <c r="B14" s="47"/>
      <c r="C14" s="47"/>
      <c r="D14" s="47"/>
    </row>
    <row r="15" customFormat="false" ht="21.75" hidden="false" customHeight="true" outlineLevel="0" collapsed="false">
      <c r="A15" s="50" t="s">
        <v>161</v>
      </c>
      <c r="B15" s="50"/>
      <c r="C15" s="50"/>
      <c r="D15" s="50"/>
    </row>
    <row r="16" customFormat="false" ht="19.5" hidden="false" customHeight="true" outlineLevel="0" collapsed="false">
      <c r="A16" s="51" t="s">
        <v>79</v>
      </c>
      <c r="B16" s="51" t="s">
        <v>162</v>
      </c>
      <c r="C16" s="51" t="s">
        <v>11</v>
      </c>
      <c r="D16" s="51" t="s">
        <v>12</v>
      </c>
    </row>
    <row r="17" customFormat="false" ht="28.5" hidden="false" customHeight="true" outlineLevel="0" collapsed="false">
      <c r="A17" s="47" t="s">
        <v>68</v>
      </c>
      <c r="B17" s="54" t="n">
        <v>64</v>
      </c>
      <c r="C17" s="47" t="s">
        <v>163</v>
      </c>
      <c r="D17" s="53" t="s">
        <v>164</v>
      </c>
    </row>
    <row r="18" customFormat="false" ht="18" hidden="false" customHeight="true" outlineLevel="0" collapsed="false">
      <c r="A18" s="47" t="s">
        <v>72</v>
      </c>
      <c r="B18" s="54" t="n">
        <v>64</v>
      </c>
      <c r="C18" s="47" t="s">
        <v>17</v>
      </c>
      <c r="D18" s="53" t="s">
        <v>165</v>
      </c>
    </row>
    <row r="19" customFormat="false" ht="18" hidden="false" customHeight="true" outlineLevel="0" collapsed="false">
      <c r="A19" s="47" t="s">
        <v>166</v>
      </c>
      <c r="B19" s="56" t="n">
        <v>0.12</v>
      </c>
      <c r="C19" s="47" t="s">
        <v>92</v>
      </c>
      <c r="D19" s="53" t="s">
        <v>167</v>
      </c>
    </row>
    <row r="20" customFormat="false" ht="41.25" hidden="false" customHeight="true" outlineLevel="0" collapsed="false">
      <c r="A20" s="47" t="s">
        <v>168</v>
      </c>
      <c r="B20" s="54" t="n">
        <v>380</v>
      </c>
      <c r="C20" s="47" t="s">
        <v>169</v>
      </c>
      <c r="D20" s="53" t="s">
        <v>170</v>
      </c>
    </row>
    <row r="21" customFormat="false" ht="28.5" hidden="false" customHeight="true" outlineLevel="0" collapsed="false">
      <c r="A21" s="47" t="s">
        <v>171</v>
      </c>
      <c r="B21" s="57" t="n">
        <v>7E-005</v>
      </c>
      <c r="C21" s="47" t="s">
        <v>17</v>
      </c>
      <c r="D21" s="53" t="s">
        <v>172</v>
      </c>
    </row>
    <row r="22" customFormat="false" ht="28.5" hidden="false" customHeight="true" outlineLevel="0" collapsed="false">
      <c r="A22" s="47" t="s">
        <v>173</v>
      </c>
      <c r="B22" s="54" t="n">
        <v>1</v>
      </c>
      <c r="C22" s="47" t="s">
        <v>14</v>
      </c>
      <c r="D22" s="53" t="s">
        <v>174</v>
      </c>
    </row>
    <row r="23" customFormat="false" ht="18" hidden="false" customHeight="true" outlineLevel="0" collapsed="false">
      <c r="A23" s="47" t="s">
        <v>175</v>
      </c>
      <c r="B23" s="56" t="n">
        <v>0.47</v>
      </c>
      <c r="C23" s="47" t="s">
        <v>104</v>
      </c>
      <c r="D23" s="53" t="s">
        <v>176</v>
      </c>
    </row>
    <row r="24" customFormat="false" ht="18" hidden="false" customHeight="true" outlineLevel="0" collapsed="false">
      <c r="A24" s="47" t="s">
        <v>177</v>
      </c>
      <c r="B24" s="58" t="n">
        <v>0.5</v>
      </c>
      <c r="C24" s="47" t="s">
        <v>107</v>
      </c>
      <c r="D24" s="53" t="s">
        <v>178</v>
      </c>
    </row>
    <row r="25" customFormat="false" ht="28.5" hidden="false" customHeight="true" outlineLevel="0" collapsed="false">
      <c r="A25" s="59" t="s">
        <v>179</v>
      </c>
      <c r="B25" s="60" t="n">
        <v>28</v>
      </c>
      <c r="C25" s="47" t="s">
        <v>32</v>
      </c>
      <c r="D25" s="61" t="s">
        <v>180</v>
      </c>
    </row>
    <row r="26" customFormat="false" ht="18" hidden="false" customHeight="true" outlineLevel="0" collapsed="false">
      <c r="A26" s="47" t="s">
        <v>50</v>
      </c>
      <c r="B26" s="52" t="s">
        <v>181</v>
      </c>
      <c r="C26" s="47" t="s">
        <v>113</v>
      </c>
      <c r="D26" s="53" t="s">
        <v>182</v>
      </c>
    </row>
    <row r="27" customFormat="false" ht="15" hidden="false" customHeight="true" outlineLevel="0" collapsed="false">
      <c r="A27" s="47"/>
      <c r="B27" s="47"/>
      <c r="C27" s="47"/>
      <c r="D27" s="47"/>
    </row>
    <row r="28" customFormat="false" ht="21.75" hidden="false" customHeight="true" outlineLevel="0" collapsed="false">
      <c r="A28" s="62" t="s">
        <v>183</v>
      </c>
      <c r="B28" s="62"/>
      <c r="C28" s="62"/>
      <c r="D28" s="62"/>
    </row>
    <row r="29" customFormat="false" ht="19.5" hidden="false" customHeight="true" outlineLevel="0" collapsed="false">
      <c r="A29" s="51" t="s">
        <v>119</v>
      </c>
      <c r="B29" s="51" t="s">
        <v>10</v>
      </c>
      <c r="C29" s="51" t="s">
        <v>11</v>
      </c>
      <c r="D29" s="51" t="s">
        <v>12</v>
      </c>
    </row>
    <row r="30" customFormat="false" ht="28.5" hidden="false" customHeight="true" outlineLevel="0" collapsed="false">
      <c r="A30" s="47" t="s">
        <v>184</v>
      </c>
      <c r="B30" s="54" t="n">
        <v>375</v>
      </c>
      <c r="C30" s="47" t="s">
        <v>169</v>
      </c>
      <c r="D30" s="53" t="s">
        <v>185</v>
      </c>
    </row>
    <row r="31" customFormat="false" ht="18" hidden="false" customHeight="true" outlineLevel="0" collapsed="false">
      <c r="A31" s="47" t="s">
        <v>186</v>
      </c>
      <c r="B31" s="58" t="n">
        <v>0.8</v>
      </c>
      <c r="C31" s="47" t="s">
        <v>187</v>
      </c>
      <c r="D31" s="53" t="s">
        <v>188</v>
      </c>
    </row>
    <row r="32" customFormat="false" ht="18" hidden="false" customHeight="true" outlineLevel="0" collapsed="false">
      <c r="A32" s="47" t="s">
        <v>189</v>
      </c>
      <c r="B32" s="58" t="n">
        <v>0.74</v>
      </c>
      <c r="C32" s="47" t="s">
        <v>187</v>
      </c>
      <c r="D32" s="53" t="s">
        <v>190</v>
      </c>
    </row>
    <row r="33" customFormat="false" ht="18" hidden="false" customHeight="true" outlineLevel="0" collapsed="false">
      <c r="A33" s="47" t="s">
        <v>191</v>
      </c>
      <c r="B33" s="52" t="s">
        <v>57</v>
      </c>
      <c r="C33" s="47" t="s">
        <v>61</v>
      </c>
      <c r="D33" s="53" t="s">
        <v>192</v>
      </c>
    </row>
    <row r="34" customFormat="false" ht="18" hidden="false" customHeight="true" outlineLevel="0" collapsed="false">
      <c r="A34" s="47" t="s">
        <v>193</v>
      </c>
      <c r="B34" s="52" t="s">
        <v>57</v>
      </c>
      <c r="C34" s="47" t="s">
        <v>61</v>
      </c>
      <c r="D34" s="53" t="s">
        <v>194</v>
      </c>
    </row>
    <row r="35" customFormat="false" ht="15" hidden="false" customHeight="true" outlineLevel="0" collapsed="false">
      <c r="A35" s="47"/>
      <c r="B35" s="47"/>
      <c r="C35" s="47"/>
      <c r="D35" s="47"/>
    </row>
    <row r="36" customFormat="false" ht="21.75" hidden="false" customHeight="true" outlineLevel="0" collapsed="false">
      <c r="A36" s="63" t="s">
        <v>195</v>
      </c>
      <c r="B36" s="63"/>
      <c r="C36" s="63"/>
      <c r="D36" s="63"/>
    </row>
    <row r="37" customFormat="false" ht="19.5" hidden="false" customHeight="true" outlineLevel="0" collapsed="false">
      <c r="A37" s="51" t="s">
        <v>196</v>
      </c>
      <c r="B37" s="64" t="n">
        <v>6.0913049138667E-005</v>
      </c>
      <c r="C37" s="51" t="s">
        <v>197</v>
      </c>
      <c r="D37" s="51" t="s">
        <v>198</v>
      </c>
    </row>
    <row r="38" customFormat="false" ht="28.5" hidden="false" customHeight="true" outlineLevel="0" collapsed="false">
      <c r="A38" s="47" t="s">
        <v>199</v>
      </c>
      <c r="B38" s="65" t="n">
        <v>38.3028508607275</v>
      </c>
      <c r="C38" s="47" t="s">
        <v>197</v>
      </c>
      <c r="D38" s="53" t="s">
        <v>200</v>
      </c>
    </row>
    <row r="39" customFormat="false" ht="28.5" hidden="false" customHeight="true" outlineLevel="0" collapsed="false">
      <c r="A39" s="47" t="s">
        <v>201</v>
      </c>
      <c r="B39" s="65" t="n">
        <v>366</v>
      </c>
      <c r="C39" s="47" t="s">
        <v>202</v>
      </c>
      <c r="D39" s="53" t="s">
        <v>203</v>
      </c>
    </row>
    <row r="40" customFormat="false" ht="28.5" hidden="false" customHeight="true" outlineLevel="0" collapsed="false">
      <c r="A40" s="47" t="s">
        <v>204</v>
      </c>
      <c r="B40" s="65" t="n">
        <v>0.12</v>
      </c>
      <c r="C40" s="47" t="s">
        <v>202</v>
      </c>
      <c r="D40" s="53" t="s">
        <v>205</v>
      </c>
    </row>
    <row r="41" customFormat="false" ht="18" hidden="false" customHeight="true" outlineLevel="0" collapsed="false">
      <c r="A41" s="47" t="s">
        <v>206</v>
      </c>
      <c r="B41" s="65" t="n">
        <v>0.47</v>
      </c>
      <c r="C41" s="47" t="s">
        <v>202</v>
      </c>
      <c r="D41" s="53" t="s">
        <v>207</v>
      </c>
    </row>
    <row r="42" customFormat="false" ht="18" hidden="false" customHeight="true" outlineLevel="0" collapsed="false">
      <c r="A42" s="47" t="s">
        <v>208</v>
      </c>
      <c r="B42" s="65" t="n">
        <v>0.5</v>
      </c>
      <c r="C42" s="47" t="s">
        <v>202</v>
      </c>
      <c r="D42" s="53" t="s">
        <v>209</v>
      </c>
    </row>
    <row r="43" customFormat="false" ht="18" hidden="false" customHeight="true" outlineLevel="0" collapsed="false">
      <c r="A43" s="47" t="s">
        <v>210</v>
      </c>
      <c r="B43" s="65" t="n">
        <v>380</v>
      </c>
      <c r="C43" s="47" t="s">
        <v>202</v>
      </c>
      <c r="D43" s="53" t="s">
        <v>211</v>
      </c>
    </row>
    <row r="44" customFormat="false" ht="18" hidden="false" customHeight="true" outlineLevel="0" collapsed="false">
      <c r="A44" s="47" t="s">
        <v>212</v>
      </c>
      <c r="B44" s="65" t="n">
        <v>140</v>
      </c>
      <c r="C44" s="47" t="s">
        <v>202</v>
      </c>
      <c r="D44" s="53" t="s">
        <v>213</v>
      </c>
    </row>
    <row r="45" customFormat="false" ht="18" hidden="false" customHeight="true" outlineLevel="0" collapsed="false">
      <c r="A45" s="47" t="s">
        <v>214</v>
      </c>
      <c r="B45" s="65" t="n">
        <v>7E-005</v>
      </c>
      <c r="C45" s="47" t="s">
        <v>202</v>
      </c>
      <c r="D45" s="53" t="s">
        <v>215</v>
      </c>
    </row>
    <row r="46" customFormat="false" ht="30" hidden="false" customHeight="true" outlineLevel="0" collapsed="false">
      <c r="A46" s="47" t="s">
        <v>216</v>
      </c>
      <c r="B46" s="65" t="n">
        <v>64</v>
      </c>
      <c r="C46" s="47" t="s">
        <v>202</v>
      </c>
      <c r="D46" s="53" t="s">
        <v>217</v>
      </c>
    </row>
    <row r="47" customFormat="false" ht="31.5" hidden="false" customHeight="true" outlineLevel="0" collapsed="false">
      <c r="A47" s="47" t="s">
        <v>218</v>
      </c>
      <c r="B47" s="66" t="n">
        <v>64</v>
      </c>
      <c r="C47" s="47" t="s">
        <v>202</v>
      </c>
      <c r="D47" s="53" t="s">
        <v>219</v>
      </c>
    </row>
    <row r="48" customFormat="false" ht="15" hidden="false" customHeight="true" outlineLevel="0" collapsed="false">
      <c r="A48" s="1" t="s">
        <v>220</v>
      </c>
      <c r="B48" s="1" t="n">
        <v>0.12</v>
      </c>
      <c r="C48" s="1" t="s">
        <v>202</v>
      </c>
    </row>
    <row r="49" customFormat="false" ht="15" hidden="false" customHeight="true" outlineLevel="0" collapsed="false">
      <c r="A49" s="1" t="s">
        <v>221</v>
      </c>
      <c r="B49" s="1" t="n">
        <v>0.47</v>
      </c>
      <c r="C49" s="1" t="s">
        <v>202</v>
      </c>
    </row>
    <row r="50" customFormat="false" ht="15" hidden="false" customHeight="true" outlineLevel="0" collapsed="false">
      <c r="A50" s="1" t="s">
        <v>222</v>
      </c>
      <c r="B50" s="1" t="n">
        <v>0.5</v>
      </c>
      <c r="C50" s="1" t="s">
        <v>202</v>
      </c>
    </row>
    <row r="51" customFormat="false" ht="15" hidden="false" customHeight="true" outlineLevel="0" collapsed="false">
      <c r="A51" s="67" t="s">
        <v>223</v>
      </c>
      <c r="B51" s="68" t="n">
        <v>1.28833295553232</v>
      </c>
      <c r="C51" s="1" t="s">
        <v>224</v>
      </c>
      <c r="D51" s="69" t="s">
        <v>225</v>
      </c>
    </row>
    <row r="52" customFormat="false" ht="15" hidden="false" customHeight="true" outlineLevel="0" collapsed="false">
      <c r="A52" s="1" t="s">
        <v>106</v>
      </c>
      <c r="B52" s="1" t="n">
        <f aca="false">B51*(0.8+0.5*MAX(0,MIN((B25-4)/24,1)))</f>
        <v>1.67483284219202</v>
      </c>
      <c r="C52" s="1" t="s">
        <v>226</v>
      </c>
      <c r="D52" s="1" t="s">
        <v>227</v>
      </c>
    </row>
    <row r="54" customFormat="false" ht="27.75" hidden="false" customHeight="true" outlineLevel="0" collapsed="false">
      <c r="A54" s="63" t="s">
        <v>228</v>
      </c>
      <c r="B54" s="70"/>
      <c r="C54" s="70"/>
      <c r="D54" s="70"/>
    </row>
    <row r="55" customFormat="false" ht="15" hidden="false" customHeight="true" outlineLevel="0" collapsed="false">
      <c r="A55" s="51" t="s">
        <v>79</v>
      </c>
      <c r="B55" s="51" t="s">
        <v>229</v>
      </c>
      <c r="C55" s="51" t="s">
        <v>230</v>
      </c>
      <c r="D55" s="51" t="s">
        <v>120</v>
      </c>
    </row>
    <row r="56" customFormat="false" ht="15" hidden="false" customHeight="true" outlineLevel="0" collapsed="false">
      <c r="A56" s="47" t="s">
        <v>231</v>
      </c>
      <c r="B56" s="57" t="n">
        <v>1.14917905095584</v>
      </c>
      <c r="C56" s="47" t="s">
        <v>232</v>
      </c>
      <c r="D56" s="53" t="s">
        <v>233</v>
      </c>
    </row>
    <row r="57" customFormat="false" ht="15" hidden="false" customHeight="true" outlineLevel="0" collapsed="false">
      <c r="A57" s="47" t="s">
        <v>68</v>
      </c>
      <c r="B57" s="57" t="n">
        <v>1.67089390376475</v>
      </c>
      <c r="C57" s="47" t="s">
        <v>234</v>
      </c>
      <c r="D57" s="53" t="s">
        <v>235</v>
      </c>
    </row>
    <row r="58" customFormat="false" ht="15" hidden="false" customHeight="true" outlineLevel="0" collapsed="false">
      <c r="A58" s="47" t="s">
        <v>76</v>
      </c>
      <c r="B58" s="57" t="n">
        <v>0.622950819672131</v>
      </c>
      <c r="C58" s="47" t="s">
        <v>236</v>
      </c>
      <c r="D58" s="53" t="s">
        <v>237</v>
      </c>
    </row>
    <row r="59" customFormat="false" ht="15" hidden="false" customHeight="true" outlineLevel="0" collapsed="false">
      <c r="A59" s="47" t="s">
        <v>166</v>
      </c>
      <c r="B59" s="57" t="n">
        <v>1</v>
      </c>
      <c r="C59" s="47" t="s">
        <v>238</v>
      </c>
      <c r="D59" s="53" t="s">
        <v>239</v>
      </c>
    </row>
    <row r="60" customFormat="false" ht="15" hidden="false" customHeight="true" outlineLevel="0" collapsed="false">
      <c r="A60" s="47" t="s">
        <v>175</v>
      </c>
      <c r="B60" s="57" t="n">
        <v>1</v>
      </c>
      <c r="C60" s="47" t="s">
        <v>240</v>
      </c>
      <c r="D60" s="53" t="s">
        <v>241</v>
      </c>
    </row>
    <row r="61" customFormat="false" ht="15" hidden="false" customHeight="true" outlineLevel="0" collapsed="false">
      <c r="A61" s="47" t="s">
        <v>242</v>
      </c>
      <c r="B61" s="57" t="n">
        <v>0</v>
      </c>
      <c r="C61" s="47" t="s">
        <v>243</v>
      </c>
      <c r="D61" s="53" t="s">
        <v>244</v>
      </c>
    </row>
    <row r="62" customFormat="false" ht="15" hidden="false" customHeight="true" outlineLevel="0" collapsed="false">
      <c r="A62" s="47" t="s">
        <v>245</v>
      </c>
      <c r="B62" s="57" t="n">
        <v>0.368421052631579</v>
      </c>
      <c r="C62" s="47" t="s">
        <v>246</v>
      </c>
      <c r="D62" s="53" t="s">
        <v>247</v>
      </c>
    </row>
    <row r="63" customFormat="false" ht="15" hidden="false" customHeight="true" outlineLevel="0" collapsed="false">
      <c r="A63" s="47" t="s">
        <v>248</v>
      </c>
      <c r="B63" s="57" t="n">
        <v>1</v>
      </c>
      <c r="C63" s="47" t="s">
        <v>249</v>
      </c>
      <c r="D63" s="53" t="s">
        <v>250</v>
      </c>
    </row>
    <row r="64" customFormat="false" ht="15" hidden="false" customHeight="true" outlineLevel="0" collapsed="false">
      <c r="A64" s="47" t="s">
        <v>50</v>
      </c>
      <c r="B64" s="57" t="s">
        <v>181</v>
      </c>
      <c r="C64" s="47" t="s">
        <v>181</v>
      </c>
      <c r="D64" s="53" t="s">
        <v>251</v>
      </c>
    </row>
    <row r="65" customFormat="false" ht="15" hidden="false" customHeight="true" outlineLevel="0" collapsed="false">
      <c r="A65" s="47" t="s">
        <v>252</v>
      </c>
      <c r="B65" s="52" t="str">
        <f aca="false">IF(AND(ABS(Engine!F2-1.14917905095584)&lt;0.0000000001,ABS(Engine!F3-1.67089390376475)&lt;0.0000000001,ABS(Engine!F4-0.622950819672131)&lt;0.0000000001,ABS(Engine!F8-0.368421052631579)&lt;0.0000000001,ABS(B52-1.67483284219202)&lt;0.0000000001),"Python datum verified","CHECK DATUM")</f>
        <v>Python datum verified</v>
      </c>
      <c r="C65" s="47" t="s">
        <v>253</v>
      </c>
      <c r="D65" s="53" t="s">
        <v>254</v>
      </c>
    </row>
    <row r="66" customFormat="false" ht="27.75" hidden="false" customHeight="true" outlineLevel="0" collapsed="false">
      <c r="A66" s="47" t="s">
        <v>255</v>
      </c>
      <c r="B66" s="52" t="s">
        <v>256</v>
      </c>
      <c r="C66" s="47"/>
      <c r="D66" s="53"/>
    </row>
    <row r="67" customFormat="false" ht="95.25" hidden="false" customHeight="true" outlineLevel="0" collapsed="false">
      <c r="A67" s="47" t="s">
        <v>257</v>
      </c>
      <c r="B67" s="52" t="s">
        <v>258</v>
      </c>
      <c r="C67" s="47"/>
      <c r="D67" s="53"/>
    </row>
  </sheetData>
  <mergeCells count="6">
    <mergeCell ref="A1:D1"/>
    <mergeCell ref="A2:D2"/>
    <mergeCell ref="A5:D5"/>
    <mergeCell ref="A15:D15"/>
    <mergeCell ref="A28:D28"/>
    <mergeCell ref="A36:D36"/>
  </mergeCells>
  <dataValidations count="9">
    <dataValidation allowBlank="false" error="Please pick or enter a value from the allowed range." errorStyle="stop" errorTitle="Not allowed" operator="greaterThanOrEqual" prompt="Songs in the calibration dataset." promptTitle="Number of tracks" showDropDown="false" showErrorMessage="true" showInputMessage="true" sqref="B9" type="whole">
      <formula1>1</formula1>
      <formula2>0</formula2>
    </dataValidation>
    <dataValidation allowBlank="false" error="Please pick or enter a value from the allowed range." errorStyle="stop" errorTitle="Not allowed" operator="greaterThan" prompt="Minutes, all tracks combined." promptTitle="Total audio time" showDropDown="false" showErrorMessage="true" showInputMessage="true" sqref="B10" type="decimal">
      <formula1>0</formula1>
      <formula2>0</formula2>
    </dataValidation>
    <dataValidation allowBlank="false" error="Please pick or enter a value from the allowed range." errorStyle="stop" errorTitle="Not allowed" operator="between" prompt="Same 1-10 scale as the Calculator sheet." promptTitle="Music complexity" showDropDown="false" showErrorMessage="true" showInputMessage="true" sqref="B11" type="list">
      <formula1>"1,2,3,4,5,6,7,8,9,10"</formula1>
      <formula2>0</formula2>
    </dataValidation>
    <dataValidation allowBlank="false" error="Please pick or enter a value from the allowed range." errorStyle="stop" errorTitle="Not allowed" operator="between" prompt="Same 1-10 scale as the Calculator sheet." promptTitle="Tag quality" showDropDown="false" showErrorMessage="true" showInputMessage="true" sqref="B12" type="list">
      <formula1>"1,2,3,4,5,6,7,8,9,10"</formula1>
      <formula2>0</formula2>
    </dataValidation>
    <dataValidation allowBlank="false" error="Please pick or enter a value from the allowed range." errorStyle="stop" errorTitle="Not allowed" operator="between" prompt="Yes if the songs were cut into clips." promptTitle="Split into clips?" showDropDown="false" showErrorMessage="true" showInputMessage="true" sqref="B13" type="list">
      <formula1>"Yes,No"</formula1>
      <formula2>0</formula2>
    </dataValidation>
    <dataValidation allowBlank="false" error="Please pick or enter a value from the allowed range." errorStyle="stop" errorTitle="Not allowed" operator="between" prompt="Pick one of the valid ranks." promptTitle="Rank" showDropDown="false" showErrorMessage="true" showInputMessage="true" sqref="B17" type="list">
      <formula1>"8,16,32,64,128,256"</formula1>
      <formula2>0</formula2>
    </dataValidation>
    <dataValidation allowBlank="false" error="Please pick or enter a value from the allowed range." errorStyle="stop" errorTitle="Not allowed" operator="between" prompt="Cosine or Linear." promptTitle="Decay shape" showDropDown="false" showErrorMessage="true" showInputMessage="true" sqref="B26" type="list">
      <formula1>"Cosine,Linear"</formula1>
      <formula2>0</formula2>
    </dataValidation>
    <dataValidation allowBlank="false" error="Please pick or enter a value from the allowed range." errorStyle="stop" errorTitle="Not allowed" operator="between" prompt="For your records." promptTitle="Instruments verdict" showDropDown="false" showErrorMessage="true" showInputMessage="true" sqref="B33" type="list">
      <formula1>"Good,Weak,Overcooked,NA"</formula1>
      <formula2>0</formula2>
    </dataValidation>
    <dataValidation allowBlank="false" error="Please pick or enter a value from the allowed range." errorStyle="stop" errorTitle="Not allowed" operator="between" prompt="For your records." promptTitle="Vocals verdict" showDropDown="false" showErrorMessage="true" showInputMessage="true" sqref="B34" type="list">
      <formula1>"Good,Weak,Overcooked,NA"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82F6"/>
    <pageSetUpPr fitToPage="true"/>
  </sheetPr>
  <dimension ref="A1:D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4"/>
    <col collapsed="false" customWidth="true" hidden="false" outlineLevel="0" max="2" min="2" style="1" width="24"/>
    <col collapsed="false" customWidth="true" hidden="false" outlineLevel="0" max="3" min="3" style="1" width="30"/>
    <col collapsed="false" customWidth="true" hidden="false" outlineLevel="0" max="4" min="4" style="1" width="64"/>
  </cols>
  <sheetData>
    <row r="1" customFormat="false" ht="36" hidden="false" customHeight="true" outlineLevel="0" collapsed="false">
      <c r="A1" s="45" t="s">
        <v>259</v>
      </c>
      <c r="B1" s="45"/>
      <c r="C1" s="45"/>
      <c r="D1" s="45"/>
    </row>
    <row r="2" customFormat="false" ht="42" hidden="false" customHeight="true" outlineLevel="0" collapsed="false">
      <c r="A2" s="46"/>
      <c r="B2" s="47"/>
      <c r="C2" s="47"/>
      <c r="D2" s="47"/>
    </row>
    <row r="3" customFormat="false" ht="21.75" hidden="false" customHeight="true" outlineLevel="0" collapsed="false">
      <c r="A3" s="71" t="s">
        <v>260</v>
      </c>
      <c r="B3" s="71"/>
      <c r="C3" s="71"/>
      <c r="D3" s="71"/>
    </row>
    <row r="4" customFormat="false" ht="19.5" hidden="false" customHeight="true" outlineLevel="0" collapsed="false">
      <c r="A4" s="51" t="s">
        <v>261</v>
      </c>
      <c r="B4" s="51" t="s">
        <v>262</v>
      </c>
      <c r="C4" s="51" t="s">
        <v>109</v>
      </c>
      <c r="D4" s="51"/>
    </row>
    <row r="5" customFormat="false" ht="18" hidden="false" customHeight="true" outlineLevel="0" collapsed="false">
      <c r="A5" s="47" t="n">
        <v>1</v>
      </c>
      <c r="B5" s="47" t="s">
        <v>263</v>
      </c>
      <c r="C5" s="72" t="n">
        <f aca="false">0.6+(A5-1)/9</f>
        <v>0.6</v>
      </c>
      <c r="D5" s="47"/>
    </row>
    <row r="6" customFormat="false" ht="28.5" hidden="false" customHeight="true" outlineLevel="0" collapsed="false">
      <c r="A6" s="47" t="n">
        <v>2</v>
      </c>
      <c r="B6" s="47" t="s">
        <v>264</v>
      </c>
      <c r="C6" s="72" t="n">
        <f aca="false">0.6+(A6-1)/9</f>
        <v>0.711111111111111</v>
      </c>
      <c r="D6" s="47"/>
    </row>
    <row r="7" customFormat="false" ht="18" hidden="false" customHeight="true" outlineLevel="0" collapsed="false">
      <c r="A7" s="47" t="n">
        <v>3</v>
      </c>
      <c r="B7" s="47" t="s">
        <v>265</v>
      </c>
      <c r="C7" s="72" t="n">
        <f aca="false">0.6+(A7-1)/9</f>
        <v>0.822222222222222</v>
      </c>
      <c r="D7" s="47"/>
    </row>
    <row r="8" customFormat="false" ht="18" hidden="false" customHeight="true" outlineLevel="0" collapsed="false">
      <c r="A8" s="47" t="n">
        <v>4</v>
      </c>
      <c r="B8" s="47" t="s">
        <v>266</v>
      </c>
      <c r="C8" s="72" t="n">
        <f aca="false">0.6+(A8-1)/9</f>
        <v>0.933333333333333</v>
      </c>
      <c r="D8" s="47"/>
    </row>
    <row r="9" customFormat="false" ht="28.5" hidden="false" customHeight="true" outlineLevel="0" collapsed="false">
      <c r="A9" s="47" t="n">
        <v>5</v>
      </c>
      <c r="B9" s="47" t="s">
        <v>267</v>
      </c>
      <c r="C9" s="72" t="n">
        <f aca="false">0.6+(A9-1)/9</f>
        <v>1.04444444444444</v>
      </c>
      <c r="D9" s="47"/>
    </row>
    <row r="10" customFormat="false" ht="18" hidden="false" customHeight="true" outlineLevel="0" collapsed="false">
      <c r="A10" s="47" t="n">
        <v>6</v>
      </c>
      <c r="B10" s="47" t="s">
        <v>268</v>
      </c>
      <c r="C10" s="72" t="n">
        <f aca="false">0.6+(A10-1)/9</f>
        <v>1.15555555555556</v>
      </c>
      <c r="D10" s="47"/>
    </row>
    <row r="11" customFormat="false" ht="28.5" hidden="false" customHeight="true" outlineLevel="0" collapsed="false">
      <c r="A11" s="47" t="n">
        <v>7</v>
      </c>
      <c r="B11" s="47" t="s">
        <v>269</v>
      </c>
      <c r="C11" s="72" t="n">
        <f aca="false">0.6+(A11-1)/9</f>
        <v>1.26666666666667</v>
      </c>
      <c r="D11" s="47"/>
    </row>
    <row r="12" customFormat="false" ht="18" hidden="false" customHeight="true" outlineLevel="0" collapsed="false">
      <c r="A12" s="47" t="n">
        <v>8</v>
      </c>
      <c r="B12" s="47" t="s">
        <v>270</v>
      </c>
      <c r="C12" s="72" t="n">
        <f aca="false">0.6+(A12-1)/9</f>
        <v>1.37777777777778</v>
      </c>
      <c r="D12" s="47"/>
    </row>
    <row r="13" customFormat="false" ht="18" hidden="false" customHeight="true" outlineLevel="0" collapsed="false">
      <c r="A13" s="47" t="n">
        <v>9</v>
      </c>
      <c r="B13" s="47" t="s">
        <v>271</v>
      </c>
      <c r="C13" s="72" t="n">
        <f aca="false">0.6+(A13-1)/9</f>
        <v>1.48888888888889</v>
      </c>
      <c r="D13" s="47"/>
    </row>
    <row r="14" customFormat="false" ht="28.5" hidden="false" customHeight="true" outlineLevel="0" collapsed="false">
      <c r="A14" s="47" t="n">
        <v>10</v>
      </c>
      <c r="B14" s="47" t="s">
        <v>272</v>
      </c>
      <c r="C14" s="72" t="n">
        <f aca="false">0.6+(A14-1)/9</f>
        <v>1.6</v>
      </c>
      <c r="D14" s="47"/>
    </row>
    <row r="15" customFormat="false" ht="15" hidden="false" customHeight="true" outlineLevel="0" collapsed="false">
      <c r="A15" s="47"/>
      <c r="B15" s="47"/>
      <c r="C15" s="47"/>
      <c r="D15" s="47"/>
    </row>
    <row r="16" customFormat="false" ht="21.75" hidden="false" customHeight="true" outlineLevel="0" collapsed="false">
      <c r="A16" s="71" t="s">
        <v>273</v>
      </c>
      <c r="B16" s="71"/>
      <c r="C16" s="71"/>
      <c r="D16" s="71"/>
    </row>
    <row r="17" customFormat="false" ht="19.5" hidden="false" customHeight="true" outlineLevel="0" collapsed="false">
      <c r="A17" s="51" t="s">
        <v>261</v>
      </c>
      <c r="B17" s="51" t="s">
        <v>274</v>
      </c>
      <c r="C17" s="51" t="s">
        <v>125</v>
      </c>
      <c r="D17" s="51" t="s">
        <v>275</v>
      </c>
    </row>
    <row r="18" customFormat="false" ht="18" hidden="false" customHeight="true" outlineLevel="0" collapsed="false">
      <c r="A18" s="47" t="n">
        <v>1</v>
      </c>
      <c r="B18" s="47" t="s">
        <v>276</v>
      </c>
      <c r="C18" s="72" t="n">
        <f aca="false">0.8+0.5*(A18-1)/9</f>
        <v>0.8</v>
      </c>
      <c r="D18" s="73" t="n">
        <f aca="false">ROUND(4+24*(A18-1)/9,0)</f>
        <v>4</v>
      </c>
    </row>
    <row r="19" customFormat="false" ht="18" hidden="false" customHeight="true" outlineLevel="0" collapsed="false">
      <c r="A19" s="47" t="n">
        <v>2</v>
      </c>
      <c r="B19" s="47" t="s">
        <v>277</v>
      </c>
      <c r="C19" s="72" t="n">
        <f aca="false">0.8+0.5*(A19-1)/9</f>
        <v>0.855555555555556</v>
      </c>
      <c r="D19" s="73" t="n">
        <f aca="false">ROUND(4+24*(A19-1)/9,0)</f>
        <v>7</v>
      </c>
    </row>
    <row r="20" customFormat="false" ht="18" hidden="false" customHeight="true" outlineLevel="0" collapsed="false">
      <c r="A20" s="47" t="n">
        <v>3</v>
      </c>
      <c r="B20" s="47" t="s">
        <v>278</v>
      </c>
      <c r="C20" s="72" t="n">
        <f aca="false">0.8+0.5*(A20-1)/9</f>
        <v>0.911111111111111</v>
      </c>
      <c r="D20" s="73" t="n">
        <f aca="false">ROUND(4+24*(A20-1)/9,0)</f>
        <v>9</v>
      </c>
    </row>
    <row r="21" customFormat="false" ht="18" hidden="false" customHeight="true" outlineLevel="0" collapsed="false">
      <c r="A21" s="47" t="n">
        <v>4</v>
      </c>
      <c r="B21" s="47" t="s">
        <v>279</v>
      </c>
      <c r="C21" s="72" t="n">
        <f aca="false">0.8+0.5*(A21-1)/9</f>
        <v>0.966666666666667</v>
      </c>
      <c r="D21" s="73" t="n">
        <f aca="false">ROUND(4+24*(A21-1)/9,0)</f>
        <v>12</v>
      </c>
    </row>
    <row r="22" customFormat="false" ht="18" hidden="false" customHeight="true" outlineLevel="0" collapsed="false">
      <c r="A22" s="47" t="n">
        <v>5</v>
      </c>
      <c r="B22" s="47" t="s">
        <v>280</v>
      </c>
      <c r="C22" s="72" t="n">
        <f aca="false">0.8+0.5*(A22-1)/9</f>
        <v>1.02222222222222</v>
      </c>
      <c r="D22" s="73" t="n">
        <f aca="false">ROUND(4+24*(A22-1)/9,0)</f>
        <v>15</v>
      </c>
    </row>
    <row r="23" customFormat="false" ht="18" hidden="false" customHeight="true" outlineLevel="0" collapsed="false">
      <c r="A23" s="47" t="n">
        <v>6</v>
      </c>
      <c r="B23" s="47" t="s">
        <v>281</v>
      </c>
      <c r="C23" s="72" t="n">
        <f aca="false">0.8+0.5*(A23-1)/9</f>
        <v>1.07777777777778</v>
      </c>
      <c r="D23" s="73" t="n">
        <f aca="false">ROUND(4+24*(A23-1)/9,0)</f>
        <v>17</v>
      </c>
    </row>
    <row r="24" customFormat="false" ht="18" hidden="false" customHeight="true" outlineLevel="0" collapsed="false">
      <c r="A24" s="47" t="n">
        <v>7</v>
      </c>
      <c r="B24" s="47" t="s">
        <v>282</v>
      </c>
      <c r="C24" s="72" t="n">
        <f aca="false">0.8+0.5*(A24-1)/9</f>
        <v>1.13333333333333</v>
      </c>
      <c r="D24" s="73" t="n">
        <f aca="false">ROUND(4+24*(A24-1)/9,0)</f>
        <v>20</v>
      </c>
    </row>
    <row r="25" customFormat="false" ht="18" hidden="false" customHeight="true" outlineLevel="0" collapsed="false">
      <c r="A25" s="47" t="n">
        <v>8</v>
      </c>
      <c r="B25" s="47" t="s">
        <v>283</v>
      </c>
      <c r="C25" s="72" t="n">
        <f aca="false">0.8+0.5*(A25-1)/9</f>
        <v>1.18888888888889</v>
      </c>
      <c r="D25" s="73" t="n">
        <f aca="false">ROUND(4+24*(A25-1)/9,0)</f>
        <v>23</v>
      </c>
    </row>
    <row r="26" customFormat="false" ht="18" hidden="false" customHeight="true" outlineLevel="0" collapsed="false">
      <c r="A26" s="47" t="n">
        <v>9</v>
      </c>
      <c r="B26" s="47" t="s">
        <v>284</v>
      </c>
      <c r="C26" s="72" t="n">
        <f aca="false">0.8+0.5*(A26-1)/9</f>
        <v>1.24444444444444</v>
      </c>
      <c r="D26" s="73" t="n">
        <f aca="false">ROUND(4+24*(A26-1)/9,0)</f>
        <v>25</v>
      </c>
    </row>
    <row r="27" customFormat="false" ht="28.5" hidden="false" customHeight="true" outlineLevel="0" collapsed="false">
      <c r="A27" s="47" t="n">
        <v>10</v>
      </c>
      <c r="B27" s="47" t="s">
        <v>285</v>
      </c>
      <c r="C27" s="72" t="n">
        <f aca="false">0.8+0.5*(A27-1)/9</f>
        <v>1.3</v>
      </c>
      <c r="D27" s="73" t="n">
        <f aca="false">ROUND(4+24*(A27-1)/9,0)</f>
        <v>28</v>
      </c>
    </row>
    <row r="28" customFormat="false" ht="39.75" hidden="false" customHeight="true" outlineLevel="0" collapsed="false">
      <c r="A28" s="47" t="s">
        <v>286</v>
      </c>
      <c r="B28" s="47"/>
      <c r="C28" s="47"/>
      <c r="D28" s="47"/>
    </row>
    <row r="29" customFormat="false" ht="15" hidden="false" customHeight="true" outlineLevel="0" collapsed="false">
      <c r="A29" s="47"/>
      <c r="B29" s="47"/>
      <c r="C29" s="47"/>
      <c r="D29" s="47"/>
    </row>
    <row r="30" customFormat="false" ht="21.75" hidden="false" customHeight="true" outlineLevel="0" collapsed="false">
      <c r="A30" s="74" t="s">
        <v>287</v>
      </c>
      <c r="B30" s="74"/>
      <c r="C30" s="74"/>
      <c r="D30" s="74"/>
    </row>
    <row r="31" customFormat="false" ht="19.5" hidden="false" customHeight="true" outlineLevel="0" collapsed="false">
      <c r="A31" s="51" t="s">
        <v>9</v>
      </c>
      <c r="B31" s="51" t="s">
        <v>288</v>
      </c>
      <c r="C31" s="51"/>
      <c r="D31" s="51"/>
    </row>
    <row r="32" customFormat="false" ht="18" hidden="false" customHeight="true" outlineLevel="0" collapsed="false">
      <c r="A32" s="47" t="s">
        <v>38</v>
      </c>
      <c r="B32" s="47" t="s">
        <v>289</v>
      </c>
      <c r="C32" s="47"/>
      <c r="D32" s="47"/>
    </row>
    <row r="33" customFormat="false" ht="18" hidden="false" customHeight="true" outlineLevel="0" collapsed="false">
      <c r="A33" s="47" t="s">
        <v>290</v>
      </c>
      <c r="B33" s="47" t="s">
        <v>291</v>
      </c>
      <c r="C33" s="47"/>
      <c r="D33" s="47"/>
    </row>
    <row r="34" customFormat="false" ht="18" hidden="false" customHeight="true" outlineLevel="0" collapsed="false">
      <c r="A34" s="47" t="s">
        <v>40</v>
      </c>
      <c r="B34" s="47" t="s">
        <v>292</v>
      </c>
      <c r="C34" s="47"/>
      <c r="D34" s="47"/>
    </row>
    <row r="35" customFormat="false" ht="28.5" hidden="false" customHeight="true" outlineLevel="0" collapsed="false">
      <c r="A35" s="47" t="s">
        <v>48</v>
      </c>
      <c r="B35" s="47" t="s">
        <v>293</v>
      </c>
      <c r="C35" s="47"/>
      <c r="D35" s="47"/>
    </row>
    <row r="36" customFormat="false" ht="18" hidden="false" customHeight="true" outlineLevel="0" collapsed="false">
      <c r="A36" s="47" t="s">
        <v>294</v>
      </c>
      <c r="B36" s="47" t="s">
        <v>295</v>
      </c>
      <c r="C36" s="47"/>
      <c r="D36" s="47"/>
    </row>
    <row r="37" customFormat="false" ht="18" hidden="false" customHeight="true" outlineLevel="0" collapsed="false">
      <c r="A37" s="47" t="s">
        <v>296</v>
      </c>
      <c r="B37" s="47" t="s">
        <v>297</v>
      </c>
      <c r="C37" s="47"/>
      <c r="D37" s="47"/>
    </row>
    <row r="38" customFormat="false" ht="18" hidden="false" customHeight="true" outlineLevel="0" collapsed="false">
      <c r="A38" s="47" t="s">
        <v>298</v>
      </c>
      <c r="B38" s="47" t="s">
        <v>299</v>
      </c>
      <c r="C38" s="47"/>
      <c r="D38" s="47"/>
    </row>
    <row r="39" customFormat="false" ht="18" hidden="false" customHeight="true" outlineLevel="0" collapsed="false">
      <c r="A39" s="47" t="s">
        <v>300</v>
      </c>
      <c r="B39" s="47" t="s">
        <v>301</v>
      </c>
      <c r="C39" s="47"/>
      <c r="D39" s="47"/>
    </row>
    <row r="40" customFormat="false" ht="28.5" hidden="false" customHeight="true" outlineLevel="0" collapsed="false">
      <c r="A40" s="47" t="s">
        <v>302</v>
      </c>
      <c r="B40" s="47" t="s">
        <v>303</v>
      </c>
      <c r="C40" s="47"/>
      <c r="D40" s="47"/>
    </row>
    <row r="41" customFormat="false" ht="18" hidden="false" customHeight="true" outlineLevel="0" collapsed="false">
      <c r="A41" s="47" t="s">
        <v>97</v>
      </c>
      <c r="B41" s="47" t="s">
        <v>304</v>
      </c>
      <c r="C41" s="47"/>
      <c r="D41" s="47"/>
    </row>
    <row r="42" customFormat="false" ht="18" hidden="false" customHeight="true" outlineLevel="0" collapsed="false">
      <c r="A42" s="47" t="s">
        <v>41</v>
      </c>
      <c r="B42" s="47" t="s">
        <v>305</v>
      </c>
      <c r="C42" s="47"/>
      <c r="D42" s="47"/>
    </row>
    <row r="43" customFormat="false" ht="28.5" hidden="false" customHeight="true" outlineLevel="0" collapsed="false">
      <c r="A43" s="47" t="s">
        <v>306</v>
      </c>
      <c r="B43" s="47" t="s">
        <v>307</v>
      </c>
      <c r="C43" s="47"/>
      <c r="D43" s="47"/>
    </row>
    <row r="44" customFormat="false" ht="15" hidden="false" customHeight="true" outlineLevel="0" collapsed="false">
      <c r="A44" s="47"/>
      <c r="B44" s="47"/>
      <c r="C44" s="47"/>
      <c r="D44" s="47"/>
    </row>
    <row r="45" customFormat="false" ht="21.75" hidden="false" customHeight="true" outlineLevel="0" collapsed="false">
      <c r="A45" s="75" t="s">
        <v>308</v>
      </c>
      <c r="B45" s="75"/>
      <c r="C45" s="75"/>
      <c r="D45" s="75"/>
    </row>
    <row r="46" customFormat="false" ht="18" hidden="false" customHeight="true" outlineLevel="0" collapsed="false">
      <c r="A46" s="47" t="s">
        <v>309</v>
      </c>
      <c r="B46" s="47"/>
      <c r="C46" s="47"/>
      <c r="D46" s="47"/>
    </row>
    <row r="47" customFormat="false" ht="18" hidden="false" customHeight="true" outlineLevel="0" collapsed="false">
      <c r="A47" s="47" t="s">
        <v>310</v>
      </c>
      <c r="B47" s="47"/>
      <c r="C47" s="47"/>
      <c r="D47" s="47"/>
    </row>
    <row r="48" customFormat="false" ht="18" hidden="false" customHeight="true" outlineLevel="0" collapsed="false">
      <c r="A48" s="47" t="s">
        <v>311</v>
      </c>
      <c r="B48" s="47"/>
      <c r="C48" s="47"/>
      <c r="D48" s="47"/>
    </row>
    <row r="49" customFormat="false" ht="28.5" hidden="false" customHeight="true" outlineLevel="0" collapsed="false">
      <c r="A49" s="47" t="s">
        <v>312</v>
      </c>
      <c r="B49" s="47"/>
      <c r="C49" s="47"/>
      <c r="D49" s="47"/>
    </row>
    <row r="50" customFormat="false" ht="28.5" hidden="false" customHeight="true" outlineLevel="0" collapsed="false">
      <c r="A50" s="47" t="s">
        <v>313</v>
      </c>
      <c r="B50" s="47"/>
      <c r="C50" s="47"/>
      <c r="D50" s="47"/>
    </row>
    <row r="52" customFormat="false" ht="17.35" hidden="false" customHeight="false" outlineLevel="0" collapsed="false">
      <c r="A52" s="76" t="s">
        <v>314</v>
      </c>
    </row>
    <row r="53" customFormat="false" ht="15" hidden="false" customHeight="false" outlineLevel="0" collapsed="false">
      <c r="A53" s="1" t="s">
        <v>315</v>
      </c>
      <c r="B53" s="1" t="s">
        <v>316</v>
      </c>
    </row>
    <row r="54" customFormat="false" ht="15" hidden="false" customHeight="false" outlineLevel="0" collapsed="false">
      <c r="A54" s="1" t="s">
        <v>125</v>
      </c>
      <c r="B54" s="1" t="s">
        <v>317</v>
      </c>
    </row>
    <row r="55" customFormat="false" ht="15" hidden="false" customHeight="false" outlineLevel="0" collapsed="false">
      <c r="A55" s="1" t="s">
        <v>318</v>
      </c>
      <c r="B55" s="1" t="s">
        <v>319</v>
      </c>
    </row>
    <row r="56" customFormat="false" ht="15" hidden="false" customHeight="false" outlineLevel="0" collapsed="false">
      <c r="A56" s="1" t="s">
        <v>320</v>
      </c>
      <c r="B56" s="1" t="s">
        <v>321</v>
      </c>
    </row>
  </sheetData>
  <mergeCells count="23">
    <mergeCell ref="A1:D1"/>
    <mergeCell ref="A3:D3"/>
    <mergeCell ref="A16:D16"/>
    <mergeCell ref="A28:D28"/>
    <mergeCell ref="A30:D30"/>
    <mergeCell ref="B32:D32"/>
    <mergeCell ref="B33:D33"/>
    <mergeCell ref="B34:D34"/>
    <mergeCell ref="B35:D35"/>
    <mergeCell ref="B36:D36"/>
    <mergeCell ref="B37:D37"/>
    <mergeCell ref="B38:D38"/>
    <mergeCell ref="B39:D39"/>
    <mergeCell ref="B40:D40"/>
    <mergeCell ref="B41:D41"/>
    <mergeCell ref="B42:D42"/>
    <mergeCell ref="B43:D43"/>
    <mergeCell ref="A45:D45"/>
    <mergeCell ref="A46:D46"/>
    <mergeCell ref="A47:D47"/>
    <mergeCell ref="A48:D48"/>
    <mergeCell ref="A49:D49"/>
    <mergeCell ref="A50:D5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4748B"/>
    <pageSetUpPr fitToPage="true"/>
  </sheetPr>
  <dimension ref="A1:F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4"/>
    <col collapsed="false" customWidth="true" hidden="false" outlineLevel="0" max="3" min="2" style="1" width="24"/>
    <col collapsed="false" customWidth="true" hidden="false" outlineLevel="0" max="4" min="4" style="1" width="64"/>
    <col collapsed="false" customWidth="true" hidden="true" outlineLevel="0" max="7" min="5" style="1" width="13"/>
  </cols>
  <sheetData>
    <row r="1" customFormat="false" ht="36" hidden="false" customHeight="true" outlineLevel="0" collapsed="false">
      <c r="A1" s="45" t="s">
        <v>322</v>
      </c>
      <c r="B1" s="45"/>
      <c r="C1" s="45"/>
      <c r="D1" s="45"/>
      <c r="E1" s="1" t="s">
        <v>202</v>
      </c>
      <c r="F1" s="1" t="s">
        <v>323</v>
      </c>
    </row>
    <row r="2" customFormat="false" ht="42" hidden="false" customHeight="true" outlineLevel="0" collapsed="false">
      <c r="A2" s="46" t="s">
        <v>324</v>
      </c>
      <c r="B2" s="46"/>
      <c r="C2" s="46"/>
      <c r="D2" s="46"/>
      <c r="E2" s="1" t="n">
        <f aca="false">Calibration!B37</f>
        <v>6.0913049138667E-005</v>
      </c>
      <c r="F2" s="1" t="n">
        <f aca="false">IFERROR(Calibration!B45/Calibration!B37,1)</f>
        <v>1.14917905095584</v>
      </c>
    </row>
    <row r="3" customFormat="false" ht="19.5" hidden="false" customHeight="true" outlineLevel="0" collapsed="false">
      <c r="A3" s="51" t="s">
        <v>119</v>
      </c>
      <c r="B3" s="51" t="s">
        <v>325</v>
      </c>
      <c r="C3" s="51" t="s">
        <v>326</v>
      </c>
      <c r="D3" s="51" t="s">
        <v>120</v>
      </c>
      <c r="E3" s="1" t="n">
        <f aca="false">Calibration!B38</f>
        <v>38.3028508607275</v>
      </c>
      <c r="F3" s="1" t="n">
        <f aca="false">IFERROR(Calibration!B46/Calibration!B38,1)</f>
        <v>1.67089390376475</v>
      </c>
    </row>
    <row r="4" customFormat="false" ht="15" hidden="false" customHeight="true" outlineLevel="0" collapsed="false">
      <c r="A4" s="47" t="s">
        <v>13</v>
      </c>
      <c r="B4" s="73" t="n">
        <f aca="false">Calculator!B7</f>
        <v>10</v>
      </c>
      <c r="C4" s="73" t="n">
        <f aca="false">Calibration!B9</f>
        <v>10</v>
      </c>
      <c r="D4" s="47" t="s">
        <v>9</v>
      </c>
      <c r="E4" s="1" t="n">
        <f aca="false">Calibration!B40</f>
        <v>0.12</v>
      </c>
      <c r="F4" s="1" t="n">
        <f aca="false">IFERROR(Calibration!B43/(Calibration!B39/0.6),1)</f>
        <v>0.622950819672131</v>
      </c>
    </row>
    <row r="5" customFormat="false" ht="15" hidden="false" customHeight="true" outlineLevel="0" collapsed="false">
      <c r="A5" s="47" t="s">
        <v>327</v>
      </c>
      <c r="B5" s="77" t="n">
        <f aca="false">Calculator!B8</f>
        <v>63.7493378472222</v>
      </c>
      <c r="C5" s="77" t="n">
        <f aca="false">Calibration!B10</f>
        <v>63.7493378472222</v>
      </c>
      <c r="D5" s="47" t="s">
        <v>9</v>
      </c>
      <c r="E5" s="1" t="n">
        <f aca="false">Calibration!B41</f>
        <v>0.47</v>
      </c>
      <c r="F5" s="1" t="n">
        <f aca="false">IFERROR(Calibration!B48/Calibration!B40,1)</f>
        <v>1</v>
      </c>
    </row>
    <row r="6" customFormat="false" ht="15" hidden="false" customHeight="true" outlineLevel="0" collapsed="false">
      <c r="A6" s="47" t="s">
        <v>328</v>
      </c>
      <c r="B6" s="73" t="n">
        <f aca="false">Calculator!B9</f>
        <v>8</v>
      </c>
      <c r="C6" s="73" t="n">
        <f aca="false">Calibration!B11</f>
        <v>10</v>
      </c>
      <c r="D6" s="47" t="s">
        <v>329</v>
      </c>
      <c r="E6" s="1" t="n">
        <f aca="false">Calibration!B42</f>
        <v>0.5</v>
      </c>
      <c r="F6" s="1" t="n">
        <f aca="false">IFERROR(Calibration!B49/Calibration!B41,1)</f>
        <v>1</v>
      </c>
    </row>
    <row r="7" customFormat="false" ht="15" hidden="false" customHeight="true" outlineLevel="0" collapsed="false">
      <c r="A7" s="47" t="s">
        <v>330</v>
      </c>
      <c r="B7" s="73" t="n">
        <f aca="false">Calculator!B10</f>
        <v>8</v>
      </c>
      <c r="C7" s="73" t="n">
        <f aca="false">Calibration!B12</f>
        <v>10</v>
      </c>
      <c r="D7" s="47" t="s">
        <v>329</v>
      </c>
      <c r="E7" s="1" t="n">
        <f aca="false">Calibration!B43</f>
        <v>380</v>
      </c>
      <c r="F7" s="1" t="n">
        <f aca="false">IFERROR(Calibration!B50-Calibration!B42,0)</f>
        <v>0</v>
      </c>
    </row>
    <row r="8" customFormat="false" ht="15" hidden="false" customHeight="true" outlineLevel="0" collapsed="false">
      <c r="A8" s="47" t="s">
        <v>331</v>
      </c>
      <c r="B8" s="47" t="str">
        <f aca="false">Calculator!B11</f>
        <v>No</v>
      </c>
      <c r="C8" s="47" t="str">
        <f aca="false">Calibration!B13</f>
        <v>No</v>
      </c>
      <c r="D8" s="47" t="s">
        <v>332</v>
      </c>
      <c r="E8" s="1" t="n">
        <f aca="false">Calibration!B44</f>
        <v>140</v>
      </c>
      <c r="F8" s="1" t="n">
        <f aca="false">IFERROR(Calibration!B44/Calibration!B43,"")</f>
        <v>0.368421052631579</v>
      </c>
    </row>
    <row r="9" customFormat="false" ht="15" hidden="false" customHeight="true" outlineLevel="0" collapsed="false">
      <c r="A9" s="47" t="s">
        <v>109</v>
      </c>
      <c r="B9" s="78" t="n">
        <f aca="false">IF(ISNUMBER(Calculator!G12),Calculator!G12,0.6+(B6-1)/9)</f>
        <v>1.28833295553232</v>
      </c>
      <c r="C9" s="78" t="n">
        <f aca="false">Calibration!B51</f>
        <v>1.28833295553232</v>
      </c>
      <c r="D9" s="47" t="s">
        <v>333</v>
      </c>
      <c r="E9" s="1" t="n">
        <f aca="false">Calibration!B45</f>
        <v>7E-005</v>
      </c>
      <c r="F9" s="1" t="n">
        <f aca="false">IFERROR(Calibration!B47/Calibration!B46,1)</f>
        <v>1</v>
      </c>
    </row>
    <row r="10" customFormat="false" ht="15" hidden="false" customHeight="true" outlineLevel="0" collapsed="false">
      <c r="A10" s="47" t="s">
        <v>334</v>
      </c>
      <c r="B10" s="78" t="n">
        <f aca="false">IF(ISNUMBER(Calculator!B12),0.8+0.5*MAX(0,MIN((Calculator!B12-4)/24,1)),0.8+0.5*(B7-1)/9)</f>
        <v>1.3</v>
      </c>
      <c r="C10" s="78" t="n">
        <f aca="false">IF(ISNUMBER(Calibration!B25),0.8+0.5*MAX(0,MIN((Calibration!B25-4)/24,1)),0.8+0.5*(C7-1)/9)</f>
        <v>1.3</v>
      </c>
      <c r="D10" s="47" t="s">
        <v>335</v>
      </c>
      <c r="E10" s="1" t="n">
        <v>64</v>
      </c>
    </row>
    <row r="11" customFormat="false" ht="15" hidden="false" customHeight="true" outlineLevel="0" collapsed="false">
      <c r="A11" s="47" t="s">
        <v>336</v>
      </c>
      <c r="B11" s="78" t="n">
        <f aca="false">B9*B10</f>
        <v>1.67483284219202</v>
      </c>
      <c r="C11" s="78" t="n">
        <f aca="false">C9*C10</f>
        <v>1.67483284219202</v>
      </c>
      <c r="D11" s="47" t="s">
        <v>337</v>
      </c>
      <c r="E11" s="1" t="n">
        <v>64</v>
      </c>
    </row>
    <row r="12" customFormat="false" ht="15" hidden="false" customHeight="true" outlineLevel="0" collapsed="false">
      <c r="A12" s="47" t="s">
        <v>338</v>
      </c>
      <c r="B12" s="78" t="n">
        <f aca="false">(B6-1)/9</f>
        <v>0.777777777777778</v>
      </c>
      <c r="C12" s="78" t="n">
        <f aca="false">(C6-1)/9</f>
        <v>1</v>
      </c>
      <c r="D12" s="47" t="s">
        <v>339</v>
      </c>
      <c r="E12" s="1" t="n">
        <v>0.12</v>
      </c>
    </row>
    <row r="13" customFormat="false" ht="15" hidden="false" customHeight="true" outlineLevel="0" collapsed="false">
      <c r="A13" s="47" t="s">
        <v>340</v>
      </c>
      <c r="B13" s="78" t="n">
        <f aca="false">MAX(0.05,B5/60)</f>
        <v>1.06248896412037</v>
      </c>
      <c r="C13" s="78" t="n">
        <f aca="false">MAX(0.05,C5/60)</f>
        <v>1.06248896412037</v>
      </c>
      <c r="D13" s="47" t="s">
        <v>341</v>
      </c>
      <c r="E13" s="1" t="n">
        <v>0.47</v>
      </c>
    </row>
    <row r="14" customFormat="false" ht="15" hidden="false" customHeight="true" outlineLevel="0" collapsed="false">
      <c r="A14" s="47" t="s">
        <v>342</v>
      </c>
      <c r="B14" s="77" t="n">
        <f aca="false">150+130*LN(MAX(2,B4)*B11*(1+0.2*LN(1+B13)))</f>
        <v>533.956728078142</v>
      </c>
      <c r="C14" s="77" t="n">
        <f aca="false">150+130*LN(MAX(2,C4)*C11*(1+0.2*LN(1+C13)))</f>
        <v>533.956728078142</v>
      </c>
      <c r="D14" s="47" t="s">
        <v>343</v>
      </c>
      <c r="E14" s="1" t="n">
        <v>0.5</v>
      </c>
    </row>
    <row r="15" customFormat="false" ht="15" hidden="false" customHeight="true" outlineLevel="0" collapsed="false">
      <c r="A15" s="47" t="s">
        <v>344</v>
      </c>
      <c r="B15" s="73" t="n">
        <f aca="false">ROUND(B14*1.15/10,0)*10</f>
        <v>610</v>
      </c>
      <c r="C15" s="73" t="n">
        <v>610</v>
      </c>
      <c r="D15" s="47" t="s">
        <v>345</v>
      </c>
      <c r="E15" s="1" t="str">
        <f aca="false">Calibration!B64</f>
        <v>Cosine</v>
      </c>
    </row>
    <row r="16" customFormat="false" ht="15" hidden="false" customHeight="true" outlineLevel="0" collapsed="false">
      <c r="A16" s="47" t="s">
        <v>115</v>
      </c>
      <c r="B16" s="78" t="n">
        <f aca="false">1/(1+EXP(-(B4-35)/12))</f>
        <v>0.110727317972368</v>
      </c>
      <c r="C16" s="78" t="n">
        <f aca="false">1/(1+EXP(-(C4-35)/12))</f>
        <v>0.110727317972368</v>
      </c>
      <c r="D16" s="47" t="s">
        <v>346</v>
      </c>
      <c r="E16" s="1" t="n">
        <v>1.67483284219202</v>
      </c>
    </row>
    <row r="17" customFormat="false" ht="15" hidden="false" customHeight="true" outlineLevel="0" collapsed="false">
      <c r="A17" s="47" t="s">
        <v>347</v>
      </c>
      <c r="B17" s="79" t="n">
        <f aca="false">(0.000028+0.000062*B16)*SQRT(B11)*1.35</f>
        <v>6.0913049138667E-005</v>
      </c>
      <c r="C17" s="79" t="n">
        <v>6.0913049138667E-005</v>
      </c>
      <c r="D17" s="47" t="s">
        <v>348</v>
      </c>
      <c r="E17" s="1" t="n">
        <v>610</v>
      </c>
    </row>
    <row r="18" customFormat="false" ht="15" hidden="false" customHeight="true" outlineLevel="0" collapsed="false">
      <c r="A18" s="47" t="s">
        <v>349</v>
      </c>
      <c r="B18" s="78" t="n">
        <f aca="false">LOG(MAX(2,B4/3),2)</f>
        <v>1.73696559416621</v>
      </c>
      <c r="C18" s="78" t="n">
        <f aca="false">LOG(MAX(2,C4/3),2)</f>
        <v>1.73696559416621</v>
      </c>
      <c r="D18" s="47" t="s">
        <v>350</v>
      </c>
    </row>
    <row r="19" customFormat="false" ht="15" hidden="false" customHeight="true" outlineLevel="0" collapsed="false">
      <c r="A19" s="47" t="s">
        <v>351</v>
      </c>
      <c r="B19" s="77" t="n">
        <f aca="false">(5.5+10*B18)*B11</f>
        <v>38.3028508607275</v>
      </c>
      <c r="C19" s="77" t="n">
        <f aca="false">(5.5+10*C18)*C11</f>
        <v>38.3028508607275</v>
      </c>
      <c r="D19" s="47" t="s">
        <v>352</v>
      </c>
    </row>
    <row r="20" customFormat="false" ht="15" hidden="false" customHeight="true" outlineLevel="0" collapsed="false">
      <c r="A20" s="47" t="s">
        <v>353</v>
      </c>
      <c r="B20" s="77" t="n">
        <f aca="false">MAX(32,MIN(256,16*LOG(MAX(2,B4),2)))</f>
        <v>53.1508495181978</v>
      </c>
      <c r="C20" s="77" t="n">
        <f aca="false">MAX(32,MIN(256,16*LOG(MAX(2,C4),2)))</f>
        <v>53.1508495181978</v>
      </c>
      <c r="D20" s="47" t="s">
        <v>354</v>
      </c>
    </row>
    <row r="21" customFormat="false" ht="15" hidden="false" customHeight="true" outlineLevel="0" collapsed="false">
      <c r="A21" s="47" t="s">
        <v>355</v>
      </c>
      <c r="B21" s="77" t="n">
        <f aca="false">MAX(8,MIN(B19,B20))</f>
        <v>38.3028508607275</v>
      </c>
      <c r="C21" s="77" t="n">
        <v>38.3028508607275</v>
      </c>
      <c r="D21" s="47" t="s">
        <v>356</v>
      </c>
    </row>
    <row r="22" customFormat="false" ht="15" hidden="false" customHeight="true" outlineLevel="0" collapsed="false">
      <c r="A22" s="47" t="s">
        <v>357</v>
      </c>
      <c r="B22" s="72" t="n">
        <f aca="false">ROUND(MAX(0.2,MIN(0.3+(B9-0.6)*0.25,0.5)),2)</f>
        <v>0.47</v>
      </c>
      <c r="C22" s="72" t="n">
        <v>0.47</v>
      </c>
      <c r="D22" s="47" t="s">
        <v>358</v>
      </c>
    </row>
    <row r="23" customFormat="false" ht="15" hidden="false" customHeight="true" outlineLevel="0" collapsed="false">
      <c r="A23" s="47" t="s">
        <v>359</v>
      </c>
      <c r="B23" s="72" t="n">
        <f aca="false">ROUND(MAX(0.05,MIN(0.08+B12*0.04,0.15)),2)</f>
        <v>0.11</v>
      </c>
      <c r="C23" s="72" t="n">
        <v>0.12</v>
      </c>
      <c r="D23" s="47" t="s">
        <v>360</v>
      </c>
    </row>
    <row r="24" customFormat="false" ht="15" hidden="false" customHeight="true" outlineLevel="0" collapsed="false">
      <c r="A24" s="47" t="s">
        <v>361</v>
      </c>
      <c r="B24" s="72" t="n">
        <f aca="false">IF(OR(B8="Yes",B4&lt;15),0.5,0.35)</f>
        <v>0.5</v>
      </c>
      <c r="C24" s="72" t="n">
        <v>0.5</v>
      </c>
      <c r="D24" s="47" t="s">
        <v>362</v>
      </c>
    </row>
    <row r="25" customFormat="false" ht="15" hidden="false" customHeight="true" outlineLevel="0" collapsed="false">
      <c r="A25" s="47"/>
      <c r="B25" s="47"/>
      <c r="C25" s="80"/>
      <c r="D25" s="47"/>
    </row>
    <row r="26" customFormat="false" ht="15" hidden="false" customHeight="true" outlineLevel="0" collapsed="false">
      <c r="A26" s="47" t="s">
        <v>363</v>
      </c>
      <c r="B26" s="78" t="n">
        <f aca="false">IF(Calculator!B21="Overcooked",0.75,IF(Calculator!B21="Weak",1.25,1))*IF(Calculator!B22="Weak",1.2,1)</f>
        <v>1</v>
      </c>
      <c r="C26" s="81"/>
      <c r="D26" s="47" t="s">
        <v>364</v>
      </c>
    </row>
    <row r="27" customFormat="false" ht="15" hidden="false" customHeight="true" outlineLevel="0" collapsed="false">
      <c r="A27" s="47" t="s">
        <v>365</v>
      </c>
      <c r="B27" s="78" t="n">
        <f aca="false">IF(Calculator!B21="Weak",1.15,1)*IF(Calculator!B22="Overcooked",0.85,1)</f>
        <v>1</v>
      </c>
      <c r="C27" s="81"/>
      <c r="D27" s="47" t="s">
        <v>366</v>
      </c>
    </row>
    <row r="28" customFormat="false" ht="15" hidden="false" customHeight="true" outlineLevel="0" collapsed="false">
      <c r="A28" s="47" t="s">
        <v>367</v>
      </c>
      <c r="B28" s="47" t="n">
        <f aca="false">IF(OR(Calculator!B21="Overcooked",Calculator!B22="Overcooked"),1,0)</f>
        <v>0</v>
      </c>
      <c r="C28" s="80"/>
      <c r="D28" s="47" t="s">
        <v>368</v>
      </c>
    </row>
    <row r="29" customFormat="false" ht="15" hidden="false" customHeight="true" outlineLevel="0" collapsed="false">
      <c r="A29" s="47" t="s">
        <v>369</v>
      </c>
      <c r="B29" s="72" t="n">
        <f aca="false">IF(Calculator!B21="Overcooked",0.05,0)</f>
        <v>0</v>
      </c>
      <c r="C29" s="82"/>
      <c r="D29" s="47" t="s">
        <v>370</v>
      </c>
    </row>
    <row r="30" customFormat="false" ht="15" hidden="false" customHeight="true" outlineLevel="0" collapsed="false">
      <c r="A30" s="47" t="s">
        <v>371</v>
      </c>
      <c r="B30" s="47" t="n">
        <f aca="false">IF(Calculator!B27="Yes",1,0)</f>
        <v>1</v>
      </c>
      <c r="C30" s="80"/>
      <c r="D30" s="47" t="s">
        <v>372</v>
      </c>
    </row>
    <row r="31" customFormat="false" ht="15" hidden="false" customHeight="true" outlineLevel="0" collapsed="false">
      <c r="A31" s="47" t="s">
        <v>373</v>
      </c>
      <c r="B31" s="78" t="n">
        <f aca="false">IF(AND(B30=1,ISNUMBER(Engine!F2)),Engine!F2,1)</f>
        <v>1.14917905095584</v>
      </c>
      <c r="C31" s="81"/>
      <c r="D31" s="47" t="s">
        <v>374</v>
      </c>
    </row>
    <row r="32" customFormat="false" ht="15" hidden="false" customHeight="true" outlineLevel="0" collapsed="false">
      <c r="A32" s="47" t="s">
        <v>375</v>
      </c>
      <c r="B32" s="78" t="n">
        <f aca="false">IF(AND(B30=1,ISNUMBER(Engine!F3)),Engine!F3,1)</f>
        <v>1.67089390376475</v>
      </c>
      <c r="C32" s="81"/>
      <c r="D32" s="47"/>
    </row>
    <row r="33" customFormat="false" ht="15" hidden="false" customHeight="true" outlineLevel="0" collapsed="false">
      <c r="A33" s="47" t="s">
        <v>376</v>
      </c>
      <c r="B33" s="78" t="n">
        <f aca="false">IF(AND(B30=1,ISNUMBER(Engine!F9)),Engine!F9,1)</f>
        <v>1</v>
      </c>
      <c r="C33" s="81"/>
      <c r="D33" s="47"/>
    </row>
    <row r="34" customFormat="false" ht="15" hidden="false" customHeight="true" outlineLevel="0" collapsed="false">
      <c r="A34" s="47" t="s">
        <v>377</v>
      </c>
      <c r="B34" s="78" t="n">
        <f aca="false">IF(AND(B30=1,ISNUMBER(Engine!F5)),Engine!F5,1)</f>
        <v>1</v>
      </c>
      <c r="C34" s="81"/>
      <c r="D34" s="47"/>
    </row>
    <row r="35" customFormat="false" ht="15" hidden="false" customHeight="true" outlineLevel="0" collapsed="false">
      <c r="A35" s="47" t="s">
        <v>378</v>
      </c>
      <c r="B35" s="78" t="n">
        <f aca="false">IF(AND(B30=1,ISNUMBER(Engine!F6)),Engine!F6,1)</f>
        <v>1</v>
      </c>
      <c r="C35" s="81"/>
      <c r="D35" s="47"/>
    </row>
    <row r="36" customFormat="false" ht="15" hidden="false" customHeight="true" outlineLevel="0" collapsed="false">
      <c r="A36" s="47" t="s">
        <v>379</v>
      </c>
      <c r="B36" s="72" t="n">
        <f aca="false">IF(AND(B30=1,ISNUMBER(Engine!F7)),Engine!F7,0)</f>
        <v>0</v>
      </c>
      <c r="C36" s="82"/>
      <c r="D36" s="47"/>
    </row>
    <row r="37" customFormat="false" ht="15" hidden="false" customHeight="true" outlineLevel="0" collapsed="false">
      <c r="A37" s="47" t="s">
        <v>380</v>
      </c>
      <c r="B37" s="72" t="n">
        <f aca="false">IF(AND(B30=1,ISNUMBER(Engine!F8)),Engine!F8,"")</f>
        <v>0.368421052631579</v>
      </c>
      <c r="C37" s="82"/>
      <c r="D37" s="47" t="s">
        <v>381</v>
      </c>
    </row>
    <row r="38" customFormat="false" ht="15" hidden="false" customHeight="true" outlineLevel="0" collapsed="false">
      <c r="A38" s="47" t="s">
        <v>382</v>
      </c>
      <c r="B38" s="47" t="n">
        <f aca="false">IF(B30=1,1,0)</f>
        <v>1</v>
      </c>
      <c r="C38" s="80"/>
      <c r="D38" s="47"/>
    </row>
    <row r="39" customFormat="false" ht="15" hidden="false" customHeight="true" outlineLevel="0" collapsed="false">
      <c r="A39" s="47" t="s">
        <v>383</v>
      </c>
      <c r="B39" s="78" t="n">
        <f aca="false">IF(B38=1,Engine!F4,1)</f>
        <v>0.622950819672131</v>
      </c>
      <c r="C39" s="81"/>
      <c r="D39" s="47"/>
    </row>
    <row r="40" customFormat="false" ht="15" hidden="false" customHeight="true" outlineLevel="0" collapsed="false">
      <c r="A40" s="47" t="s">
        <v>384</v>
      </c>
      <c r="B40" s="47" t="str">
        <f aca="false">IF(B30=1,Engine!E15,"")</f>
        <v>Cosine</v>
      </c>
      <c r="C40" s="80"/>
      <c r="D40" s="47"/>
    </row>
    <row r="41" customFormat="false" ht="15" hidden="false" customHeight="true" outlineLevel="0" collapsed="false">
      <c r="A41" s="47" t="s">
        <v>385</v>
      </c>
      <c r="B41" s="78" t="n">
        <f aca="false">IF(ISNUMBER(B37),B37,0.4)+B29</f>
        <v>0.368421052631579</v>
      </c>
      <c r="C41" s="81"/>
      <c r="D41" s="47" t="s">
        <v>386</v>
      </c>
    </row>
    <row r="42" customFormat="false" ht="15" hidden="false" customHeight="true" outlineLevel="0" collapsed="false">
      <c r="A42" s="47" t="s">
        <v>387</v>
      </c>
      <c r="B42" s="73" t="n">
        <f aca="false">IF(B38=1,ROUND(B15*B39,0),B15)</f>
        <v>380</v>
      </c>
      <c r="C42" s="83"/>
      <c r="D42" s="47"/>
    </row>
    <row r="43" customFormat="false" ht="15" hidden="false" customHeight="true" outlineLevel="0" collapsed="false">
      <c r="A43" s="47" t="s">
        <v>388</v>
      </c>
      <c r="B43" s="73" t="n">
        <f aca="false">IF(Calculator!B23&gt;0,ROUND(Calculator!B23/(1-B41)/10,0)*10,B42)</f>
        <v>380</v>
      </c>
      <c r="C43" s="83"/>
      <c r="D43" s="47" t="s">
        <v>389</v>
      </c>
    </row>
    <row r="44" customFormat="false" ht="15" hidden="false" customHeight="true" outlineLevel="0" collapsed="false">
      <c r="A44" s="47" t="s">
        <v>390</v>
      </c>
      <c r="B44" s="73" t="n">
        <f aca="false">IF(Calculator!B23&gt;0,ROUND(B43*B41/10,0)*10,IF(ISNUMBER(B37),ROUND(B43*B41,0),ROUND(B43*B41/10,0)*10))</f>
        <v>140</v>
      </c>
      <c r="C44" s="83"/>
      <c r="D44" s="47"/>
    </row>
    <row r="45" customFormat="false" ht="15" hidden="false" customHeight="true" outlineLevel="0" collapsed="false">
      <c r="A45" s="47" t="s">
        <v>391</v>
      </c>
      <c r="B45" s="79" t="n">
        <f aca="false">B17*B31*B27</f>
        <v>7E-005</v>
      </c>
      <c r="C45" s="84"/>
      <c r="D45" s="47" t="s">
        <v>392</v>
      </c>
    </row>
    <row r="46" customFormat="false" ht="15" hidden="false" customHeight="true" outlineLevel="0" collapsed="false">
      <c r="A46" s="47" t="s">
        <v>393</v>
      </c>
      <c r="B46" s="79" t="n">
        <f aca="false">B45/SQRT(Calculator!B16)</f>
        <v>7E-005</v>
      </c>
      <c r="C46" s="84"/>
      <c r="D46" s="47" t="s">
        <v>394</v>
      </c>
    </row>
    <row r="47" customFormat="false" ht="15" hidden="false" customHeight="true" outlineLevel="0" collapsed="false">
      <c r="A47" s="47" t="s">
        <v>22</v>
      </c>
      <c r="B47" s="79" t="n">
        <f aca="false">IF(B30=1,Engine!E9,IF(OR(ISNUMBER(SEARCH("Prodigy",Calculator!B15)),ISNUMBER(SEARCH("Muon",Calculator!B15))),"engine default",ROUND(B46,6)))</f>
        <v>7E-005</v>
      </c>
      <c r="C47" s="84"/>
      <c r="D47" s="47"/>
    </row>
    <row r="48" customFormat="false" ht="15" hidden="false" customHeight="true" outlineLevel="0" collapsed="false">
      <c r="A48" s="47" t="s">
        <v>395</v>
      </c>
      <c r="B48" s="77" t="n">
        <f aca="false">MAX(8,MIN(B19*B26,B20))*B32</f>
        <v>64</v>
      </c>
      <c r="C48" s="85"/>
      <c r="D48" s="47"/>
    </row>
    <row r="49" customFormat="false" ht="15" hidden="false" customHeight="true" outlineLevel="0" collapsed="false">
      <c r="A49" s="47" t="s">
        <v>396</v>
      </c>
      <c r="B49" s="73" t="n">
        <f aca="false">MIN(256,MAX(8,2^ROUND(LOG(B48,2),0)))</f>
        <v>64</v>
      </c>
      <c r="C49" s="83"/>
      <c r="D49" s="47" t="s">
        <v>397</v>
      </c>
    </row>
    <row r="50" customFormat="false" ht="15" hidden="false" customHeight="true" outlineLevel="0" collapsed="false">
      <c r="A50" s="47" t="s">
        <v>8</v>
      </c>
      <c r="B50" s="73" t="n">
        <f aca="false">MAX(1,ROUND(B49*B33,0))</f>
        <v>64</v>
      </c>
      <c r="C50" s="83"/>
      <c r="D50" s="47"/>
    </row>
    <row r="51" customFormat="false" ht="15" hidden="false" customHeight="true" outlineLevel="0" collapsed="false">
      <c r="A51" s="47" t="s">
        <v>398</v>
      </c>
      <c r="B51" s="86" t="n">
        <f aca="false">IF(B30=1,Engine!E13,ROUND(B22*B35,3))</f>
        <v>0.47</v>
      </c>
      <c r="C51" s="87"/>
      <c r="D51" s="47"/>
    </row>
    <row r="52" customFormat="false" ht="15" hidden="false" customHeight="true" outlineLevel="0" collapsed="false">
      <c r="A52" s="47" t="s">
        <v>399</v>
      </c>
      <c r="B52" s="86" t="n">
        <f aca="false">IF(B30=1,Engine!E12,ROUND(B23*B34,3))</f>
        <v>0.12</v>
      </c>
      <c r="C52" s="87"/>
      <c r="D52" s="47"/>
    </row>
    <row r="53" customFormat="false" ht="15" hidden="false" customHeight="true" outlineLevel="0" collapsed="false">
      <c r="A53" s="47" t="s">
        <v>400</v>
      </c>
      <c r="B53" s="72" t="n">
        <f aca="false">ROUND(MIN(0.9,MAX(0,B24+B36)),2)</f>
        <v>0.5</v>
      </c>
      <c r="C53" s="82"/>
      <c r="D53" s="47"/>
    </row>
    <row r="54" customFormat="false" ht="15" hidden="false" customHeight="true" outlineLevel="0" collapsed="false">
      <c r="A54" s="47" t="s">
        <v>401</v>
      </c>
      <c r="B54" s="72" t="n">
        <f aca="false">IF(B28=1,MAX(B53,0.5),B53)</f>
        <v>0.5</v>
      </c>
      <c r="C54" s="82"/>
      <c r="D54" s="47"/>
    </row>
    <row r="55" customFormat="false" ht="15" hidden="false" customHeight="true" outlineLevel="0" collapsed="false">
      <c r="A55" s="47" t="s">
        <v>402</v>
      </c>
      <c r="B55" s="47" t="str">
        <f aca="false">IF(Calculator!B17&lt;&gt;"Auto",Calculator!B17,IF(OR(B40="Cosine",B40="Linear"),B40,IF(Calculator!B23&gt;0,"Cosine",IF(B12&gt;0.6,"Linear","Cosine"))))</f>
        <v>Cosine</v>
      </c>
      <c r="C55" s="80"/>
      <c r="D55" s="47" t="s">
        <v>403</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2026-10-04T08:17:26Z</dcterms:created>
  <dc:creator>openpyxl</dc:creator>
  <dc:description/>
  <dc:language>en-US</dc:language>
  <cp:lastModifiedBy/>
  <dcterms:modified xsi:type="dcterms:W3CDTF">2026-10-04T09:30:25Z</dcterms:modified>
  <cp:revision>0</cp:revision>
  <dc:subject/>
  <dc:title>HOT-Step LoRA Training Settings Calculator — Dashboard Edition</dc:title>
</cp:coreProperties>
</file>

<file path=docProps/custom.xml><?xml version="1.0" encoding="utf-8"?>
<Properties xmlns="http://schemas.openxmlformats.org/officeDocument/2006/custom-properties" xmlns:vt="http://schemas.openxmlformats.org/officeDocument/2006/docPropsVTypes"/>
</file>